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Base_de_Dados" sheetId="2" state="visible" r:id="rId2"/>
    <sheet xmlns:r="http://schemas.openxmlformats.org/officeDocument/2006/relationships" name="Calculos_KP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R$ 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2937"/>
      <sz val="13"/>
    </font>
    <font>
      <name val="Calibri"/>
      <b val="1"/>
      <color rgb="00FFFFFF"/>
      <sz val="18"/>
    </font>
    <font>
      <name val="Calibri"/>
      <b val="1"/>
      <color rgb="0064748B"/>
      <sz val="10"/>
    </font>
    <font>
      <name val="Calibri"/>
      <b val="1"/>
      <color rgb="00107C41"/>
      <sz val="20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8FAFC"/>
        <bgColor rgb="00F8FAFC"/>
      </patternFill>
    </fill>
    <fill>
      <patternFill patternType="solid">
        <fgColor rgb="00107C41"/>
        <bgColor rgb="00107C41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107C4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4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2" fillId="0" borderId="0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0" fillId="5" borderId="2" pivotButton="0" quotePrefix="0" xfId="0"/>
    <xf numFmtId="165" fontId="6" fillId="5" borderId="2" applyAlignment="1" pivotButton="0" quotePrefix="0" xfId="0">
      <alignment horizontal="center" vertical="center"/>
    </xf>
    <xf numFmtId="3" fontId="6" fillId="5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164" fontId="2" fillId="3" borderId="1" applyAlignment="1" pivotButton="0" quotePrefix="0" xfId="0">
      <alignment horizontal="center"/>
    </xf>
    <xf numFmtId="0" fontId="2" fillId="3" borderId="1" pivotButton="0" quotePrefix="0" xfId="0"/>
    <xf numFmtId="3" fontId="2" fillId="3" borderId="1" applyAlignment="1" pivotButton="0" quotePrefix="0" xfId="0">
      <alignment horizontal="right"/>
    </xf>
    <xf numFmtId="165" fontId="2" fillId="3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2" fillId="0" borderId="1" pivotButton="0" quotePrefix="0" xfId="0"/>
    <xf numFmtId="3" fontId="2" fillId="0" borderId="1" applyAlignment="1" pivotButton="0" quotePrefix="0" xfId="0">
      <alignment horizontal="right"/>
    </xf>
    <xf numFmtId="165" fontId="2" fillId="0" borderId="1" applyAlignment="1" pivotButton="0" quotePrefix="0" xfId="0">
      <alignment horizontal="right"/>
    </xf>
    <xf numFmtId="0" fontId="3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Evolução Mensal do Faturamento (R$)</a:t>
            </a:r>
          </a:p>
        </rich>
      </tx>
    </title>
    <plotArea>
      <lineChart>
        <grouping val="standard"/>
        <ser>
          <idx val="0"/>
          <order val="0"/>
          <tx>
            <strRef>
              <f>'Calculos_KPIs'!F2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'Calculos_KPIs'!$E$3:$E$12</f>
            </numRef>
          </cat>
          <val>
            <numRef>
              <f>'Calculos_KPIs'!$F$3:$F$12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Faturamento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Faturamento por Categoria (R$)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'Calculos_KPIs'!B11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'Calculos_KPIs'!$A$12:$A$15</f>
            </numRef>
          </cat>
          <val>
            <numRef>
              <f>'Calculos_KPIs'!$B$12:$B$15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Categoria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Produtos em Vendas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'Calculos_KPIs'!F16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'Calculos_KPIs'!$E$17:$E$24</f>
            </numRef>
          </cat>
          <val>
            <numRef>
              <f>'Calculos_KPIs'!$F$17:$F$24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Faturamento (R$)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Vendas por Canal</a:t>
            </a:r>
          </a:p>
        </rich>
      </tx>
    </title>
    <plotArea>
      <pieChart>
        <varyColors val="1"/>
        <ser>
          <idx val="0"/>
          <order val="0"/>
          <tx>
            <strRef>
              <f>'Calculos_KPIs'!B19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'Calculos_KPIs'!$A$20:$A$22</f>
            </numRef>
          </cat>
          <val>
            <numRef>
              <f>'Calculos_KPIs'!$B$20:$B$22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9</row>
      <rowOff>0</rowOff>
    </from>
    <ext cx="576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9</row>
      <rowOff>0</rowOff>
    </from>
    <ext cx="504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24</row>
      <rowOff>0</rowOff>
    </from>
    <ext cx="5760000" cy="34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24</row>
      <rowOff>0</rowOff>
    </from>
    <ext cx="5040000" cy="34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8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4" customWidth="1" min="4" max="4"/>
    <col width="16" customWidth="1" min="5" max="5"/>
    <col width="16" customWidth="1" min="6" max="6"/>
    <col width="4" customWidth="1" min="7" max="7"/>
    <col width="16" customWidth="1" min="8" max="8"/>
    <col width="16" customWidth="1" min="9" max="9"/>
    <col width="4" customWidth="1" min="10" max="10"/>
    <col width="16" customWidth="1" min="11" max="11"/>
    <col width="16" customWidth="1" min="12" max="12"/>
    <col width="4" customWidth="1" min="13" max="13"/>
  </cols>
  <sheetData>
    <row r="2" ht="22" customHeight="1">
      <c r="B2" s="1" t="inlineStr">
        <is>
          <t xml:space="preserve">  DASHBOARD DE VENDAS XBOX &amp; GAMING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2" customHeight="1"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B4" s="3" t="inlineStr">
        <is>
          <t>Visão executiva de desempenho de vendas, lucratividade e análise por categoria/canal.</t>
        </is>
      </c>
    </row>
    <row r="6" ht="18" customHeight="1">
      <c r="B6" s="4" t="inlineStr">
        <is>
          <t>FATURAMENTO TOTAL</t>
        </is>
      </c>
      <c r="C6" s="5" t="n"/>
      <c r="E6" s="4" t="inlineStr">
        <is>
          <t>UNIDADES VENDIDAS</t>
        </is>
      </c>
      <c r="F6" s="5" t="n"/>
      <c r="H6" s="4" t="inlineStr">
        <is>
          <t>TICKET MÉDIO</t>
        </is>
      </c>
      <c r="I6" s="5" t="n"/>
      <c r="K6" s="4" t="inlineStr">
        <is>
          <t>LUCRO TOTAL</t>
        </is>
      </c>
      <c r="L6" s="5" t="n"/>
    </row>
    <row r="7" ht="22" customHeight="1">
      <c r="B7" s="6">
        <f>Calculos_KPIs!B3</f>
        <v/>
      </c>
      <c r="C7" s="5" t="n"/>
      <c r="E7" s="7">
        <f>Calculos_KPIs!B4</f>
        <v/>
      </c>
      <c r="F7" s="5" t="n"/>
      <c r="H7" s="6">
        <f>Calculos_KPIs!B5</f>
        <v/>
      </c>
      <c r="I7" s="5" t="n"/>
      <c r="K7" s="6">
        <f>Calculos_KPIs!B6</f>
        <v/>
      </c>
      <c r="L7" s="5" t="n"/>
    </row>
    <row r="8" ht="22" customHeight="1">
      <c r="B8" s="5" t="n"/>
      <c r="C8" s="5" t="n"/>
      <c r="E8" s="5" t="n"/>
      <c r="F8" s="5" t="n"/>
      <c r="H8" s="5" t="n"/>
      <c r="I8" s="5" t="n"/>
      <c r="K8" s="5" t="n"/>
      <c r="L8" s="5" t="n"/>
    </row>
  </sheetData>
  <mergeCells count="10">
    <mergeCell ref="B6:C6"/>
    <mergeCell ref="E6:F6"/>
    <mergeCell ref="B2:M3"/>
    <mergeCell ref="H6:I6"/>
    <mergeCell ref="K7:L8"/>
    <mergeCell ref="B7:C8"/>
    <mergeCell ref="E7:F8"/>
    <mergeCell ref="H7:I8"/>
    <mergeCell ref="K6:L6"/>
    <mergeCell ref="B4:M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39" customWidth="1" min="4" max="4"/>
    <col width="13" customWidth="1" min="5" max="5"/>
    <col width="17" customWidth="1" min="6" max="6"/>
    <col width="15" customWidth="1" min="7" max="7"/>
    <col width="14" customWidth="1" min="8" max="8"/>
    <col width="22" customWidth="1" min="9" max="9"/>
    <col width="19" customWidth="1" min="10" max="10"/>
    <col width="22" customWidth="1" min="11" max="11"/>
    <col width="20" customWidth="1" min="12" max="12"/>
  </cols>
  <sheetData>
    <row r="1" ht="28" customHeight="1">
      <c r="A1" s="8" t="inlineStr">
        <is>
          <t>ID Venda</t>
        </is>
      </c>
      <c r="B1" s="8" t="inlineStr">
        <is>
          <t>Data</t>
        </is>
      </c>
      <c r="C1" s="8" t="inlineStr">
        <is>
          <t>Mês/Ano</t>
        </is>
      </c>
      <c r="D1" s="8" t="inlineStr">
        <is>
          <t>Produto</t>
        </is>
      </c>
      <c r="E1" s="8" t="inlineStr">
        <is>
          <t>Categoria</t>
        </is>
      </c>
      <c r="F1" s="8" t="inlineStr">
        <is>
          <t>Canal de Venda</t>
        </is>
      </c>
      <c r="G1" s="8" t="inlineStr">
        <is>
          <t>Região</t>
        </is>
      </c>
      <c r="H1" s="8" t="inlineStr">
        <is>
          <t>Qtd Vendida</t>
        </is>
      </c>
      <c r="I1" s="8" t="inlineStr">
        <is>
          <t>Preço Unitário (R$)</t>
        </is>
      </c>
      <c r="J1" s="8" t="inlineStr">
        <is>
          <t>Faturamento (R$)</t>
        </is>
      </c>
      <c r="K1" s="8" t="inlineStr">
        <is>
          <t>Custo Unitário (R$)</t>
        </is>
      </c>
      <c r="L1" s="8" t="inlineStr">
        <is>
          <t>Lucro Total (R$)</t>
        </is>
      </c>
    </row>
    <row r="2">
      <c r="A2" s="9" t="inlineStr">
        <is>
          <t>XBX-2024001</t>
        </is>
      </c>
      <c r="B2" s="10" t="n">
        <v>45349</v>
      </c>
      <c r="C2" s="9" t="inlineStr">
        <is>
          <t>2024-02</t>
        </is>
      </c>
      <c r="D2" s="11" t="inlineStr">
        <is>
          <t>Console Xbox Series X 1TB</t>
        </is>
      </c>
      <c r="E2" s="11" t="inlineStr">
        <is>
          <t>Console</t>
        </is>
      </c>
      <c r="F2" s="9" t="inlineStr">
        <is>
          <t>Loja Física</t>
        </is>
      </c>
      <c r="G2" s="9" t="inlineStr">
        <is>
          <t>Sul</t>
        </is>
      </c>
      <c r="H2" s="12" t="n">
        <v>3</v>
      </c>
      <c r="I2" s="13" t="n">
        <v>4499</v>
      </c>
      <c r="J2" s="13">
        <f>H2*I2</f>
        <v/>
      </c>
      <c r="K2" s="13" t="n">
        <v>3800</v>
      </c>
      <c r="L2" s="13">
        <f>J2-(H2*K2)</f>
        <v/>
      </c>
    </row>
    <row r="3">
      <c r="A3" s="14" t="inlineStr">
        <is>
          <t>XBX-2024002</t>
        </is>
      </c>
      <c r="B3" s="15" t="n">
        <v>45406</v>
      </c>
      <c r="C3" s="14" t="inlineStr">
        <is>
          <t>2024-04</t>
        </is>
      </c>
      <c r="D3" s="16" t="inlineStr">
        <is>
          <t>Controle Sem Fio Xbox - Carbon Black</t>
        </is>
      </c>
      <c r="E3" s="16" t="inlineStr">
        <is>
          <t>Acessório</t>
        </is>
      </c>
      <c r="F3" s="14" t="inlineStr">
        <is>
          <t>Marketplace</t>
        </is>
      </c>
      <c r="G3" s="14" t="inlineStr">
        <is>
          <t>Norte</t>
        </is>
      </c>
      <c r="H3" s="17" t="n">
        <v>1</v>
      </c>
      <c r="I3" s="18" t="n">
        <v>499</v>
      </c>
      <c r="J3" s="18">
        <f>H3*I3</f>
        <v/>
      </c>
      <c r="K3" s="18" t="n">
        <v>320</v>
      </c>
      <c r="L3" s="18">
        <f>J3-(H3*K3)</f>
        <v/>
      </c>
    </row>
    <row r="4">
      <c r="A4" s="9" t="inlineStr">
        <is>
          <t>XBX-2024003</t>
        </is>
      </c>
      <c r="B4" s="10" t="n">
        <v>45336</v>
      </c>
      <c r="C4" s="9" t="inlineStr">
        <is>
          <t>2024-02</t>
        </is>
      </c>
      <c r="D4" s="11" t="inlineStr">
        <is>
          <t>EA Sports FC 24 - Xbox Series</t>
        </is>
      </c>
      <c r="E4" s="11" t="inlineStr">
        <is>
          <t>Jogo</t>
        </is>
      </c>
      <c r="F4" s="9" t="inlineStr">
        <is>
          <t>E-commerce</t>
        </is>
      </c>
      <c r="G4" s="9" t="inlineStr">
        <is>
          <t>Sudeste</t>
        </is>
      </c>
      <c r="H4" s="12" t="n">
        <v>7</v>
      </c>
      <c r="I4" s="13" t="n">
        <v>350</v>
      </c>
      <c r="J4" s="13">
        <f>H4*I4</f>
        <v/>
      </c>
      <c r="K4" s="13" t="n">
        <v>200</v>
      </c>
      <c r="L4" s="13">
        <f>J4-(H4*K4)</f>
        <v/>
      </c>
    </row>
    <row r="5">
      <c r="A5" s="14" t="inlineStr">
        <is>
          <t>XBX-2024004</t>
        </is>
      </c>
      <c r="B5" s="15" t="n">
        <v>45339</v>
      </c>
      <c r="C5" s="14" t="inlineStr">
        <is>
          <t>2024-02</t>
        </is>
      </c>
      <c r="D5" s="16" t="inlineStr">
        <is>
          <t>Controle Sem Fio Xbox - Robot White</t>
        </is>
      </c>
      <c r="E5" s="16" t="inlineStr">
        <is>
          <t>Acessório</t>
        </is>
      </c>
      <c r="F5" s="14" t="inlineStr">
        <is>
          <t>Marketplace</t>
        </is>
      </c>
      <c r="G5" s="14" t="inlineStr">
        <is>
          <t>Norte</t>
        </is>
      </c>
      <c r="H5" s="17" t="n">
        <v>2</v>
      </c>
      <c r="I5" s="18" t="n">
        <v>499</v>
      </c>
      <c r="J5" s="18">
        <f>H5*I5</f>
        <v/>
      </c>
      <c r="K5" s="18" t="n">
        <v>320</v>
      </c>
      <c r="L5" s="18">
        <f>J5-(H5*K5)</f>
        <v/>
      </c>
    </row>
    <row r="6">
      <c r="A6" s="9" t="inlineStr">
        <is>
          <t>XBX-2024005</t>
        </is>
      </c>
      <c r="B6" s="10" t="n">
        <v>45305</v>
      </c>
      <c r="C6" s="9" t="inlineStr">
        <is>
          <t>2024-01</t>
        </is>
      </c>
      <c r="D6" s="11" t="inlineStr">
        <is>
          <t>Forza Horizon 5 Premium</t>
        </is>
      </c>
      <c r="E6" s="11" t="inlineStr">
        <is>
          <t>Jogo</t>
        </is>
      </c>
      <c r="F6" s="9" t="inlineStr">
        <is>
          <t>Marketplace</t>
        </is>
      </c>
      <c r="G6" s="9" t="inlineStr">
        <is>
          <t>Norte</t>
        </is>
      </c>
      <c r="H6" s="12" t="n">
        <v>4</v>
      </c>
      <c r="I6" s="13" t="n">
        <v>399</v>
      </c>
      <c r="J6" s="13">
        <f>H6*I6</f>
        <v/>
      </c>
      <c r="K6" s="13" t="n">
        <v>220</v>
      </c>
      <c r="L6" s="13">
        <f>J6-(H6*K6)</f>
        <v/>
      </c>
    </row>
    <row r="7">
      <c r="A7" s="14" t="inlineStr">
        <is>
          <t>XBX-2024006</t>
        </is>
      </c>
      <c r="B7" s="15" t="n">
        <v>45506</v>
      </c>
      <c r="C7" s="14" t="inlineStr">
        <is>
          <t>2024-08</t>
        </is>
      </c>
      <c r="D7" s="16" t="inlineStr">
        <is>
          <t>Controle Sem Fio Xbox - Robot White</t>
        </is>
      </c>
      <c r="E7" s="16" t="inlineStr">
        <is>
          <t>Acessório</t>
        </is>
      </c>
      <c r="F7" s="14" t="inlineStr">
        <is>
          <t>Marketplace</t>
        </is>
      </c>
      <c r="G7" s="14" t="inlineStr">
        <is>
          <t>Nordeste</t>
        </is>
      </c>
      <c r="H7" s="17" t="n">
        <v>4</v>
      </c>
      <c r="I7" s="18" t="n">
        <v>499</v>
      </c>
      <c r="J7" s="18">
        <f>H7*I7</f>
        <v/>
      </c>
      <c r="K7" s="18" t="n">
        <v>320</v>
      </c>
      <c r="L7" s="18">
        <f>J7-(H7*K7)</f>
        <v/>
      </c>
    </row>
    <row r="8">
      <c r="A8" s="9" t="inlineStr">
        <is>
          <t>XBX-2024007</t>
        </is>
      </c>
      <c r="B8" s="10" t="n">
        <v>45295</v>
      </c>
      <c r="C8" s="9" t="inlineStr">
        <is>
          <t>2024-01</t>
        </is>
      </c>
      <c r="D8" s="11" t="inlineStr">
        <is>
          <t>Cyberpunk 2077: Phantom Liberty</t>
        </is>
      </c>
      <c r="E8" s="11" t="inlineStr">
        <is>
          <t>Jogo</t>
        </is>
      </c>
      <c r="F8" s="9" t="inlineStr">
        <is>
          <t>Marketplace</t>
        </is>
      </c>
      <c r="G8" s="9" t="inlineStr">
        <is>
          <t>Centro-Oeste</t>
        </is>
      </c>
      <c r="H8" s="12" t="n">
        <v>3</v>
      </c>
      <c r="I8" s="13" t="n">
        <v>299</v>
      </c>
      <c r="J8" s="13">
        <f>H8*I8</f>
        <v/>
      </c>
      <c r="K8" s="13" t="n">
        <v>150</v>
      </c>
      <c r="L8" s="13">
        <f>J8-(H8*K8)</f>
        <v/>
      </c>
    </row>
    <row r="9">
      <c r="A9" s="14" t="inlineStr">
        <is>
          <t>XBX-2024008</t>
        </is>
      </c>
      <c r="B9" s="15" t="n">
        <v>45466</v>
      </c>
      <c r="C9" s="14" t="inlineStr">
        <is>
          <t>2024-06</t>
        </is>
      </c>
      <c r="D9" s="16" t="inlineStr">
        <is>
          <t>Headset Sem Fio Xbox Stereo</t>
        </is>
      </c>
      <c r="E9" s="16" t="inlineStr">
        <is>
          <t>Acessório</t>
        </is>
      </c>
      <c r="F9" s="14" t="inlineStr">
        <is>
          <t>E-commerce</t>
        </is>
      </c>
      <c r="G9" s="14" t="inlineStr">
        <is>
          <t>Nordeste</t>
        </is>
      </c>
      <c r="H9" s="17" t="n">
        <v>2</v>
      </c>
      <c r="I9" s="18" t="n">
        <v>799</v>
      </c>
      <c r="J9" s="18">
        <f>H9*I9</f>
        <v/>
      </c>
      <c r="K9" s="18" t="n">
        <v>550</v>
      </c>
      <c r="L9" s="18">
        <f>J9-(H9*K9)</f>
        <v/>
      </c>
    </row>
    <row r="10">
      <c r="A10" s="9" t="inlineStr">
        <is>
          <t>XBX-2024009</t>
        </is>
      </c>
      <c r="B10" s="10" t="n">
        <v>45344</v>
      </c>
      <c r="C10" s="9" t="inlineStr">
        <is>
          <t>2024-02</t>
        </is>
      </c>
      <c r="D10" s="11" t="inlineStr">
        <is>
          <t>Console Xbox Series S 512GB</t>
        </is>
      </c>
      <c r="E10" s="11" t="inlineStr">
        <is>
          <t>Console</t>
        </is>
      </c>
      <c r="F10" s="9" t="inlineStr">
        <is>
          <t>E-commerce</t>
        </is>
      </c>
      <c r="G10" s="9" t="inlineStr">
        <is>
          <t>Nordeste</t>
        </is>
      </c>
      <c r="H10" s="12" t="n">
        <v>2</v>
      </c>
      <c r="I10" s="13" t="n">
        <v>2649</v>
      </c>
      <c r="J10" s="13">
        <f>H10*I10</f>
        <v/>
      </c>
      <c r="K10" s="13" t="n">
        <v>2100</v>
      </c>
      <c r="L10" s="13">
        <f>J10-(H10*K10)</f>
        <v/>
      </c>
    </row>
    <row r="11">
      <c r="A11" s="14" t="inlineStr">
        <is>
          <t>XBX-2024010</t>
        </is>
      </c>
      <c r="B11" s="15" t="n">
        <v>45468</v>
      </c>
      <c r="C11" s="14" t="inlineStr">
        <is>
          <t>2024-06</t>
        </is>
      </c>
      <c r="D11" s="16" t="inlineStr">
        <is>
          <t>EA Sports FC 24 - Xbox Series</t>
        </is>
      </c>
      <c r="E11" s="16" t="inlineStr">
        <is>
          <t>Jogo</t>
        </is>
      </c>
      <c r="F11" s="14" t="inlineStr">
        <is>
          <t>E-commerce</t>
        </is>
      </c>
      <c r="G11" s="14" t="inlineStr">
        <is>
          <t>Centro-Oeste</t>
        </is>
      </c>
      <c r="H11" s="17" t="n">
        <v>5</v>
      </c>
      <c r="I11" s="18" t="n">
        <v>350</v>
      </c>
      <c r="J11" s="18">
        <f>H11*I11</f>
        <v/>
      </c>
      <c r="K11" s="18" t="n">
        <v>200</v>
      </c>
      <c r="L11" s="18">
        <f>J11-(H11*K11)</f>
        <v/>
      </c>
    </row>
    <row r="12">
      <c r="A12" s="9" t="inlineStr">
        <is>
          <t>XBX-2024011</t>
        </is>
      </c>
      <c r="B12" s="10" t="n">
        <v>45566</v>
      </c>
      <c r="C12" s="9" t="inlineStr">
        <is>
          <t>2024-10</t>
        </is>
      </c>
      <c r="D12" s="11" t="inlineStr">
        <is>
          <t>Console Xbox Series S 512GB</t>
        </is>
      </c>
      <c r="E12" s="11" t="inlineStr">
        <is>
          <t>Console</t>
        </is>
      </c>
      <c r="F12" s="9" t="inlineStr">
        <is>
          <t>E-commerce</t>
        </is>
      </c>
      <c r="G12" s="9" t="inlineStr">
        <is>
          <t>Norte</t>
        </is>
      </c>
      <c r="H12" s="12" t="n">
        <v>2</v>
      </c>
      <c r="I12" s="13" t="n">
        <v>2649</v>
      </c>
      <c r="J12" s="13">
        <f>H12*I12</f>
        <v/>
      </c>
      <c r="K12" s="13" t="n">
        <v>2100</v>
      </c>
      <c r="L12" s="13">
        <f>J12-(H12*K12)</f>
        <v/>
      </c>
    </row>
    <row r="13">
      <c r="A13" s="14" t="inlineStr">
        <is>
          <t>XBX-2024012</t>
        </is>
      </c>
      <c r="B13" s="15" t="n">
        <v>45442</v>
      </c>
      <c r="C13" s="14" t="inlineStr">
        <is>
          <t>2024-05</t>
        </is>
      </c>
      <c r="D13" s="16" t="inlineStr">
        <is>
          <t>Halo Infinite Campaign</t>
        </is>
      </c>
      <c r="E13" s="16" t="inlineStr">
        <is>
          <t>Jogo</t>
        </is>
      </c>
      <c r="F13" s="14" t="inlineStr">
        <is>
          <t>Marketplace</t>
        </is>
      </c>
      <c r="G13" s="14" t="inlineStr">
        <is>
          <t>Sul</t>
        </is>
      </c>
      <c r="H13" s="17" t="n">
        <v>6</v>
      </c>
      <c r="I13" s="18" t="n">
        <v>249</v>
      </c>
      <c r="J13" s="18">
        <f>H13*I13</f>
        <v/>
      </c>
      <c r="K13" s="18" t="n">
        <v>120</v>
      </c>
      <c r="L13" s="18">
        <f>J13-(H13*K13)</f>
        <v/>
      </c>
    </row>
    <row r="14">
      <c r="A14" s="9" t="inlineStr">
        <is>
          <t>XBX-2024013</t>
        </is>
      </c>
      <c r="B14" s="10" t="n">
        <v>45327</v>
      </c>
      <c r="C14" s="9" t="inlineStr">
        <is>
          <t>2024-02</t>
        </is>
      </c>
      <c r="D14" s="11" t="inlineStr">
        <is>
          <t>Console Xbox Series X 1TB</t>
        </is>
      </c>
      <c r="E14" s="11" t="inlineStr">
        <is>
          <t>Console</t>
        </is>
      </c>
      <c r="F14" s="9" t="inlineStr">
        <is>
          <t>E-commerce</t>
        </is>
      </c>
      <c r="G14" s="9" t="inlineStr">
        <is>
          <t>Nordeste</t>
        </is>
      </c>
      <c r="H14" s="12" t="n">
        <v>3</v>
      </c>
      <c r="I14" s="13" t="n">
        <v>4499</v>
      </c>
      <c r="J14" s="13">
        <f>H14*I14</f>
        <v/>
      </c>
      <c r="K14" s="13" t="n">
        <v>3800</v>
      </c>
      <c r="L14" s="13">
        <f>J14-(H14*K14)</f>
        <v/>
      </c>
    </row>
    <row r="15">
      <c r="A15" s="14" t="inlineStr">
        <is>
          <t>XBX-2024014</t>
        </is>
      </c>
      <c r="B15" s="15" t="n">
        <v>45332</v>
      </c>
      <c r="C15" s="14" t="inlineStr">
        <is>
          <t>2024-02</t>
        </is>
      </c>
      <c r="D15" s="16" t="inlineStr">
        <is>
          <t>Controle Sem Fio Xbox - Robot White</t>
        </is>
      </c>
      <c r="E15" s="16" t="inlineStr">
        <is>
          <t>Acessório</t>
        </is>
      </c>
      <c r="F15" s="14" t="inlineStr">
        <is>
          <t>Loja Física</t>
        </is>
      </c>
      <c r="G15" s="14" t="inlineStr">
        <is>
          <t>Nordeste</t>
        </is>
      </c>
      <c r="H15" s="17" t="n">
        <v>1</v>
      </c>
      <c r="I15" s="18" t="n">
        <v>499</v>
      </c>
      <c r="J15" s="18">
        <f>H15*I15</f>
        <v/>
      </c>
      <c r="K15" s="18" t="n">
        <v>320</v>
      </c>
      <c r="L15" s="18">
        <f>J15-(H15*K15)</f>
        <v/>
      </c>
    </row>
    <row r="16">
      <c r="A16" s="9" t="inlineStr">
        <is>
          <t>XBX-2024015</t>
        </is>
      </c>
      <c r="B16" s="10" t="n">
        <v>45524</v>
      </c>
      <c r="C16" s="9" t="inlineStr">
        <is>
          <t>2024-08</t>
        </is>
      </c>
      <c r="D16" s="11" t="inlineStr">
        <is>
          <t>Halo Infinite Campaign</t>
        </is>
      </c>
      <c r="E16" s="11" t="inlineStr">
        <is>
          <t>Jogo</t>
        </is>
      </c>
      <c r="F16" s="9" t="inlineStr">
        <is>
          <t>E-commerce</t>
        </is>
      </c>
      <c r="G16" s="9" t="inlineStr">
        <is>
          <t>Nordeste</t>
        </is>
      </c>
      <c r="H16" s="12" t="n">
        <v>6</v>
      </c>
      <c r="I16" s="13" t="n">
        <v>249</v>
      </c>
      <c r="J16" s="13">
        <f>H16*I16</f>
        <v/>
      </c>
      <c r="K16" s="13" t="n">
        <v>120</v>
      </c>
      <c r="L16" s="13">
        <f>J16-(H16*K16)</f>
        <v/>
      </c>
    </row>
    <row r="17">
      <c r="A17" s="14" t="inlineStr">
        <is>
          <t>XBX-2024016</t>
        </is>
      </c>
      <c r="B17" s="15" t="n">
        <v>45473</v>
      </c>
      <c r="C17" s="14" t="inlineStr">
        <is>
          <t>2024-06</t>
        </is>
      </c>
      <c r="D17" s="16" t="inlineStr">
        <is>
          <t>Controle Sem Fio Xbox - Robot White</t>
        </is>
      </c>
      <c r="E17" s="16" t="inlineStr">
        <is>
          <t>Acessório</t>
        </is>
      </c>
      <c r="F17" s="14" t="inlineStr">
        <is>
          <t>Marketplace</t>
        </is>
      </c>
      <c r="G17" s="14" t="inlineStr">
        <is>
          <t>Sudeste</t>
        </is>
      </c>
      <c r="H17" s="17" t="n">
        <v>3</v>
      </c>
      <c r="I17" s="18" t="n">
        <v>499</v>
      </c>
      <c r="J17" s="18">
        <f>H17*I17</f>
        <v/>
      </c>
      <c r="K17" s="18" t="n">
        <v>320</v>
      </c>
      <c r="L17" s="18">
        <f>J17-(H17*K17)</f>
        <v/>
      </c>
    </row>
    <row r="18">
      <c r="A18" s="9" t="inlineStr">
        <is>
          <t>XBX-2024017</t>
        </is>
      </c>
      <c r="B18" s="10" t="n">
        <v>45379</v>
      </c>
      <c r="C18" s="9" t="inlineStr">
        <is>
          <t>2024-03</t>
        </is>
      </c>
      <c r="D18" s="11" t="inlineStr">
        <is>
          <t>Forza Horizon 5 Premium</t>
        </is>
      </c>
      <c r="E18" s="11" t="inlineStr">
        <is>
          <t>Jogo</t>
        </is>
      </c>
      <c r="F18" s="9" t="inlineStr">
        <is>
          <t>E-commerce</t>
        </is>
      </c>
      <c r="G18" s="9" t="inlineStr">
        <is>
          <t>Centro-Oeste</t>
        </is>
      </c>
      <c r="H18" s="12" t="n">
        <v>4</v>
      </c>
      <c r="I18" s="13" t="n">
        <v>399</v>
      </c>
      <c r="J18" s="13">
        <f>H18*I18</f>
        <v/>
      </c>
      <c r="K18" s="13" t="n">
        <v>220</v>
      </c>
      <c r="L18" s="13">
        <f>J18-(H18*K18)</f>
        <v/>
      </c>
    </row>
    <row r="19">
      <c r="A19" s="14" t="inlineStr">
        <is>
          <t>XBX-2024018</t>
        </is>
      </c>
      <c r="B19" s="15" t="n">
        <v>45486</v>
      </c>
      <c r="C19" s="14" t="inlineStr">
        <is>
          <t>2024-07</t>
        </is>
      </c>
      <c r="D19" s="16" t="inlineStr">
        <is>
          <t>Headset Sem Fio Xbox Stereo</t>
        </is>
      </c>
      <c r="E19" s="16" t="inlineStr">
        <is>
          <t>Acessório</t>
        </is>
      </c>
      <c r="F19" s="14" t="inlineStr">
        <is>
          <t>E-commerce</t>
        </is>
      </c>
      <c r="G19" s="14" t="inlineStr">
        <is>
          <t>Nordeste</t>
        </is>
      </c>
      <c r="H19" s="17" t="n">
        <v>5</v>
      </c>
      <c r="I19" s="18" t="n">
        <v>799</v>
      </c>
      <c r="J19" s="18">
        <f>H19*I19</f>
        <v/>
      </c>
      <c r="K19" s="18" t="n">
        <v>550</v>
      </c>
      <c r="L19" s="18">
        <f>J19-(H19*K19)</f>
        <v/>
      </c>
    </row>
    <row r="20">
      <c r="A20" s="9" t="inlineStr">
        <is>
          <t>XBX-2024019</t>
        </is>
      </c>
      <c r="B20" s="10" t="n">
        <v>45320</v>
      </c>
      <c r="C20" s="9" t="inlineStr">
        <is>
          <t>2024-01</t>
        </is>
      </c>
      <c r="D20" s="11" t="inlineStr">
        <is>
          <t>Controle Sem Fio Xbox - Robot White</t>
        </is>
      </c>
      <c r="E20" s="11" t="inlineStr">
        <is>
          <t>Acessório</t>
        </is>
      </c>
      <c r="F20" s="9" t="inlineStr">
        <is>
          <t>Loja Física</t>
        </is>
      </c>
      <c r="G20" s="9" t="inlineStr">
        <is>
          <t>Centro-Oeste</t>
        </is>
      </c>
      <c r="H20" s="12" t="n">
        <v>1</v>
      </c>
      <c r="I20" s="13" t="n">
        <v>499</v>
      </c>
      <c r="J20" s="13">
        <f>H20*I20</f>
        <v/>
      </c>
      <c r="K20" s="13" t="n">
        <v>320</v>
      </c>
      <c r="L20" s="13">
        <f>J20-(H20*K20)</f>
        <v/>
      </c>
    </row>
    <row r="21">
      <c r="A21" s="14" t="inlineStr">
        <is>
          <t>XBX-2024020</t>
        </is>
      </c>
      <c r="B21" s="15" t="n">
        <v>45429</v>
      </c>
      <c r="C21" s="14" t="inlineStr">
        <is>
          <t>2024-05</t>
        </is>
      </c>
      <c r="D21" s="16" t="inlineStr">
        <is>
          <t>Console Xbox Series S 512GB</t>
        </is>
      </c>
      <c r="E21" s="16" t="inlineStr">
        <is>
          <t>Console</t>
        </is>
      </c>
      <c r="F21" s="14" t="inlineStr">
        <is>
          <t>Marketplace</t>
        </is>
      </c>
      <c r="G21" s="14" t="inlineStr">
        <is>
          <t>Nordeste</t>
        </is>
      </c>
      <c r="H21" s="17" t="n">
        <v>1</v>
      </c>
      <c r="I21" s="18" t="n">
        <v>2649</v>
      </c>
      <c r="J21" s="18">
        <f>H21*I21</f>
        <v/>
      </c>
      <c r="K21" s="18" t="n">
        <v>2100</v>
      </c>
      <c r="L21" s="18">
        <f>J21-(H21*K21)</f>
        <v/>
      </c>
    </row>
    <row r="22">
      <c r="A22" s="9" t="inlineStr">
        <is>
          <t>XBX-2024021</t>
        </is>
      </c>
      <c r="B22" s="10" t="n">
        <v>45400</v>
      </c>
      <c r="C22" s="9" t="inlineStr">
        <is>
          <t>2024-04</t>
        </is>
      </c>
      <c r="D22" s="11" t="inlineStr">
        <is>
          <t>Halo Infinite Campaign</t>
        </is>
      </c>
      <c r="E22" s="11" t="inlineStr">
        <is>
          <t>Jogo</t>
        </is>
      </c>
      <c r="F22" s="9" t="inlineStr">
        <is>
          <t>Loja Física</t>
        </is>
      </c>
      <c r="G22" s="9" t="inlineStr">
        <is>
          <t>Centro-Oeste</t>
        </is>
      </c>
      <c r="H22" s="12" t="n">
        <v>8</v>
      </c>
      <c r="I22" s="13" t="n">
        <v>249</v>
      </c>
      <c r="J22" s="13">
        <f>H22*I22</f>
        <v/>
      </c>
      <c r="K22" s="13" t="n">
        <v>120</v>
      </c>
      <c r="L22" s="13">
        <f>J22-(H22*K22)</f>
        <v/>
      </c>
    </row>
    <row r="23">
      <c r="A23" s="14" t="inlineStr">
        <is>
          <t>XBX-2024022</t>
        </is>
      </c>
      <c r="B23" s="15" t="n">
        <v>45365</v>
      </c>
      <c r="C23" s="14" t="inlineStr">
        <is>
          <t>2024-03</t>
        </is>
      </c>
      <c r="D23" s="16" t="inlineStr">
        <is>
          <t>Headset Sem Fio Xbox Stereo</t>
        </is>
      </c>
      <c r="E23" s="16" t="inlineStr">
        <is>
          <t>Acessório</t>
        </is>
      </c>
      <c r="F23" s="14" t="inlineStr">
        <is>
          <t>E-commerce</t>
        </is>
      </c>
      <c r="G23" s="14" t="inlineStr">
        <is>
          <t>Norte</t>
        </is>
      </c>
      <c r="H23" s="17" t="n">
        <v>2</v>
      </c>
      <c r="I23" s="18" t="n">
        <v>799</v>
      </c>
      <c r="J23" s="18">
        <f>H23*I23</f>
        <v/>
      </c>
      <c r="K23" s="18" t="n">
        <v>550</v>
      </c>
      <c r="L23" s="18">
        <f>J23-(H23*K23)</f>
        <v/>
      </c>
    </row>
    <row r="24">
      <c r="A24" s="9" t="inlineStr">
        <is>
          <t>XBX-2024023</t>
        </is>
      </c>
      <c r="B24" s="10" t="n">
        <v>45567</v>
      </c>
      <c r="C24" s="9" t="inlineStr">
        <is>
          <t>2024-10</t>
        </is>
      </c>
      <c r="D24" s="11" t="inlineStr">
        <is>
          <t>Headset Sem Fio Xbox Stereo</t>
        </is>
      </c>
      <c r="E24" s="11" t="inlineStr">
        <is>
          <t>Acessório</t>
        </is>
      </c>
      <c r="F24" s="9" t="inlineStr">
        <is>
          <t>Loja Física</t>
        </is>
      </c>
      <c r="G24" s="9" t="inlineStr">
        <is>
          <t>Norte</t>
        </is>
      </c>
      <c r="H24" s="12" t="n">
        <v>5</v>
      </c>
      <c r="I24" s="13" t="n">
        <v>799</v>
      </c>
      <c r="J24" s="13">
        <f>H24*I24</f>
        <v/>
      </c>
      <c r="K24" s="13" t="n">
        <v>550</v>
      </c>
      <c r="L24" s="13">
        <f>J24-(H24*K24)</f>
        <v/>
      </c>
    </row>
    <row r="25">
      <c r="A25" s="14" t="inlineStr">
        <is>
          <t>XBX-2024024</t>
        </is>
      </c>
      <c r="B25" s="15" t="n">
        <v>45496</v>
      </c>
      <c r="C25" s="14" t="inlineStr">
        <is>
          <t>2024-07</t>
        </is>
      </c>
      <c r="D25" s="16" t="inlineStr">
        <is>
          <t>Xbox Game Pass Ultimate 12 Meses</t>
        </is>
      </c>
      <c r="E25" s="16" t="inlineStr">
        <is>
          <t>Assinatura</t>
        </is>
      </c>
      <c r="F25" s="14" t="inlineStr">
        <is>
          <t>E-commerce</t>
        </is>
      </c>
      <c r="G25" s="14" t="inlineStr">
        <is>
          <t>Norte</t>
        </is>
      </c>
      <c r="H25" s="17" t="n">
        <v>4</v>
      </c>
      <c r="I25" s="18" t="n">
        <v>599</v>
      </c>
      <c r="J25" s="18">
        <f>H25*I25</f>
        <v/>
      </c>
      <c r="K25" s="18" t="n">
        <v>400</v>
      </c>
      <c r="L25" s="18">
        <f>J25-(H25*K25)</f>
        <v/>
      </c>
    </row>
    <row r="26">
      <c r="A26" s="9" t="inlineStr">
        <is>
          <t>XBX-2024025</t>
        </is>
      </c>
      <c r="B26" s="10" t="n">
        <v>45544</v>
      </c>
      <c r="C26" s="9" t="inlineStr">
        <is>
          <t>2024-09</t>
        </is>
      </c>
      <c r="D26" s="11" t="inlineStr">
        <is>
          <t>Console Xbox Series S 512GB</t>
        </is>
      </c>
      <c r="E26" s="11" t="inlineStr">
        <is>
          <t>Console</t>
        </is>
      </c>
      <c r="F26" s="9" t="inlineStr">
        <is>
          <t>E-commerce</t>
        </is>
      </c>
      <c r="G26" s="9" t="inlineStr">
        <is>
          <t>Sul</t>
        </is>
      </c>
      <c r="H26" s="12" t="n">
        <v>1</v>
      </c>
      <c r="I26" s="13" t="n">
        <v>2649</v>
      </c>
      <c r="J26" s="13">
        <f>H26*I26</f>
        <v/>
      </c>
      <c r="K26" s="13" t="n">
        <v>2100</v>
      </c>
      <c r="L26" s="13">
        <f>J26-(H26*K26)</f>
        <v/>
      </c>
    </row>
    <row r="27">
      <c r="A27" s="14" t="inlineStr">
        <is>
          <t>XBX-2024026</t>
        </is>
      </c>
      <c r="B27" s="15" t="n">
        <v>45373</v>
      </c>
      <c r="C27" s="14" t="inlineStr">
        <is>
          <t>2024-03</t>
        </is>
      </c>
      <c r="D27" s="16" t="inlineStr">
        <is>
          <t>Cyberpunk 2077: Phantom Liberty</t>
        </is>
      </c>
      <c r="E27" s="16" t="inlineStr">
        <is>
          <t>Jogo</t>
        </is>
      </c>
      <c r="F27" s="14" t="inlineStr">
        <is>
          <t>Marketplace</t>
        </is>
      </c>
      <c r="G27" s="14" t="inlineStr">
        <is>
          <t>Sudeste</t>
        </is>
      </c>
      <c r="H27" s="17" t="n">
        <v>7</v>
      </c>
      <c r="I27" s="18" t="n">
        <v>299</v>
      </c>
      <c r="J27" s="18">
        <f>H27*I27</f>
        <v/>
      </c>
      <c r="K27" s="18" t="n">
        <v>150</v>
      </c>
      <c r="L27" s="18">
        <f>J27-(H27*K27)</f>
        <v/>
      </c>
    </row>
    <row r="28">
      <c r="A28" s="9" t="inlineStr">
        <is>
          <t>XBX-2024027</t>
        </is>
      </c>
      <c r="B28" s="10" t="n">
        <v>45489</v>
      </c>
      <c r="C28" s="9" t="inlineStr">
        <is>
          <t>2024-07</t>
        </is>
      </c>
      <c r="D28" s="11" t="inlineStr">
        <is>
          <t>Xbox Game Pass Ultimate 3 Meses</t>
        </is>
      </c>
      <c r="E28" s="11" t="inlineStr">
        <is>
          <t>Assinatura</t>
        </is>
      </c>
      <c r="F28" s="9" t="inlineStr">
        <is>
          <t>Loja Física</t>
        </is>
      </c>
      <c r="G28" s="9" t="inlineStr">
        <is>
          <t>Norte</t>
        </is>
      </c>
      <c r="H28" s="12" t="n">
        <v>10</v>
      </c>
      <c r="I28" s="13" t="n">
        <v>149</v>
      </c>
      <c r="J28" s="13">
        <f>H28*I28</f>
        <v/>
      </c>
      <c r="K28" s="13" t="n">
        <v>100</v>
      </c>
      <c r="L28" s="13">
        <f>J28-(H28*K28)</f>
        <v/>
      </c>
    </row>
    <row r="29">
      <c r="A29" s="14" t="inlineStr">
        <is>
          <t>XBX-2024028</t>
        </is>
      </c>
      <c r="B29" s="15" t="n">
        <v>45420</v>
      </c>
      <c r="C29" s="14" t="inlineStr">
        <is>
          <t>2024-05</t>
        </is>
      </c>
      <c r="D29" s="16" t="inlineStr">
        <is>
          <t>Forza Horizon 5 Premium</t>
        </is>
      </c>
      <c r="E29" s="16" t="inlineStr">
        <is>
          <t>Jogo</t>
        </is>
      </c>
      <c r="F29" s="14" t="inlineStr">
        <is>
          <t>Marketplace</t>
        </is>
      </c>
      <c r="G29" s="14" t="inlineStr">
        <is>
          <t>Sudeste</t>
        </is>
      </c>
      <c r="H29" s="17" t="n">
        <v>1</v>
      </c>
      <c r="I29" s="18" t="n">
        <v>399</v>
      </c>
      <c r="J29" s="18">
        <f>H29*I29</f>
        <v/>
      </c>
      <c r="K29" s="18" t="n">
        <v>220</v>
      </c>
      <c r="L29" s="18">
        <f>J29-(H29*K29)</f>
        <v/>
      </c>
    </row>
    <row r="30">
      <c r="A30" s="9" t="inlineStr">
        <is>
          <t>XBX-2024029</t>
        </is>
      </c>
      <c r="B30" s="10" t="n">
        <v>45566</v>
      </c>
      <c r="C30" s="9" t="inlineStr">
        <is>
          <t>2024-10</t>
        </is>
      </c>
      <c r="D30" s="11" t="inlineStr">
        <is>
          <t>Cyberpunk 2077: Phantom Liberty</t>
        </is>
      </c>
      <c r="E30" s="11" t="inlineStr">
        <is>
          <t>Jogo</t>
        </is>
      </c>
      <c r="F30" s="9" t="inlineStr">
        <is>
          <t>Marketplace</t>
        </is>
      </c>
      <c r="G30" s="9" t="inlineStr">
        <is>
          <t>Nordeste</t>
        </is>
      </c>
      <c r="H30" s="12" t="n">
        <v>5</v>
      </c>
      <c r="I30" s="13" t="n">
        <v>299</v>
      </c>
      <c r="J30" s="13">
        <f>H30*I30</f>
        <v/>
      </c>
      <c r="K30" s="13" t="n">
        <v>150</v>
      </c>
      <c r="L30" s="13">
        <f>J30-(H30*K30)</f>
        <v/>
      </c>
    </row>
    <row r="31">
      <c r="A31" s="14" t="inlineStr">
        <is>
          <t>XBX-2024030</t>
        </is>
      </c>
      <c r="B31" s="15" t="n">
        <v>45349</v>
      </c>
      <c r="C31" s="14" t="inlineStr">
        <is>
          <t>2024-02</t>
        </is>
      </c>
      <c r="D31" s="16" t="inlineStr">
        <is>
          <t>Headset Sem Fio Xbox Stereo</t>
        </is>
      </c>
      <c r="E31" s="16" t="inlineStr">
        <is>
          <t>Acessório</t>
        </is>
      </c>
      <c r="F31" s="14" t="inlineStr">
        <is>
          <t>E-commerce</t>
        </is>
      </c>
      <c r="G31" s="14" t="inlineStr">
        <is>
          <t>Centro-Oeste</t>
        </is>
      </c>
      <c r="H31" s="17" t="n">
        <v>4</v>
      </c>
      <c r="I31" s="18" t="n">
        <v>799</v>
      </c>
      <c r="J31" s="18">
        <f>H31*I31</f>
        <v/>
      </c>
      <c r="K31" s="18" t="n">
        <v>550</v>
      </c>
      <c r="L31" s="18">
        <f>J31-(H31*K31)</f>
        <v/>
      </c>
    </row>
    <row r="32">
      <c r="A32" s="9" t="inlineStr">
        <is>
          <t>XBX-2024031</t>
        </is>
      </c>
      <c r="B32" s="10" t="n">
        <v>45293</v>
      </c>
      <c r="C32" s="9" t="inlineStr">
        <is>
          <t>2024-01</t>
        </is>
      </c>
      <c r="D32" s="11" t="inlineStr">
        <is>
          <t>Minecraft - Xbox Edition</t>
        </is>
      </c>
      <c r="E32" s="11" t="inlineStr">
        <is>
          <t>Jogo</t>
        </is>
      </c>
      <c r="F32" s="9" t="inlineStr">
        <is>
          <t>Marketplace</t>
        </is>
      </c>
      <c r="G32" s="9" t="inlineStr">
        <is>
          <t>Sul</t>
        </is>
      </c>
      <c r="H32" s="12" t="n">
        <v>5</v>
      </c>
      <c r="I32" s="13" t="n">
        <v>149</v>
      </c>
      <c r="J32" s="13">
        <f>H32*I32</f>
        <v/>
      </c>
      <c r="K32" s="13" t="n">
        <v>60</v>
      </c>
      <c r="L32" s="13">
        <f>J32-(H32*K32)</f>
        <v/>
      </c>
    </row>
    <row r="33">
      <c r="A33" s="14" t="inlineStr">
        <is>
          <t>XBX-2024032</t>
        </is>
      </c>
      <c r="B33" s="15" t="n">
        <v>45551</v>
      </c>
      <c r="C33" s="14" t="inlineStr">
        <is>
          <t>2024-09</t>
        </is>
      </c>
      <c r="D33" s="16" t="inlineStr">
        <is>
          <t>Console Xbox Series S 512GB</t>
        </is>
      </c>
      <c r="E33" s="16" t="inlineStr">
        <is>
          <t>Console</t>
        </is>
      </c>
      <c r="F33" s="14" t="inlineStr">
        <is>
          <t>Loja Física</t>
        </is>
      </c>
      <c r="G33" s="14" t="inlineStr">
        <is>
          <t>Norte</t>
        </is>
      </c>
      <c r="H33" s="17" t="n">
        <v>3</v>
      </c>
      <c r="I33" s="18" t="n">
        <v>2649</v>
      </c>
      <c r="J33" s="18">
        <f>H33*I33</f>
        <v/>
      </c>
      <c r="K33" s="18" t="n">
        <v>2100</v>
      </c>
      <c r="L33" s="18">
        <f>J33-(H33*K33)</f>
        <v/>
      </c>
    </row>
    <row r="34">
      <c r="A34" s="9" t="inlineStr">
        <is>
          <t>XBX-2024033</t>
        </is>
      </c>
      <c r="B34" s="10" t="n">
        <v>45393</v>
      </c>
      <c r="C34" s="9" t="inlineStr">
        <is>
          <t>2024-04</t>
        </is>
      </c>
      <c r="D34" s="11" t="inlineStr">
        <is>
          <t>Controle Sem Fio Xbox - Carbon Black</t>
        </is>
      </c>
      <c r="E34" s="11" t="inlineStr">
        <is>
          <t>Acessório</t>
        </is>
      </c>
      <c r="F34" s="9" t="inlineStr">
        <is>
          <t>E-commerce</t>
        </is>
      </c>
      <c r="G34" s="9" t="inlineStr">
        <is>
          <t>Norte</t>
        </is>
      </c>
      <c r="H34" s="12" t="n">
        <v>3</v>
      </c>
      <c r="I34" s="13" t="n">
        <v>499</v>
      </c>
      <c r="J34" s="13">
        <f>H34*I34</f>
        <v/>
      </c>
      <c r="K34" s="13" t="n">
        <v>320</v>
      </c>
      <c r="L34" s="13">
        <f>J34-(H34*K34)</f>
        <v/>
      </c>
    </row>
    <row r="35">
      <c r="A35" s="14" t="inlineStr">
        <is>
          <t>XBX-2024034</t>
        </is>
      </c>
      <c r="B35" s="15" t="n">
        <v>45563</v>
      </c>
      <c r="C35" s="14" t="inlineStr">
        <is>
          <t>2024-09</t>
        </is>
      </c>
      <c r="D35" s="16" t="inlineStr">
        <is>
          <t>Console Xbox Series X 1TB</t>
        </is>
      </c>
      <c r="E35" s="16" t="inlineStr">
        <is>
          <t>Console</t>
        </is>
      </c>
      <c r="F35" s="14" t="inlineStr">
        <is>
          <t>Loja Física</t>
        </is>
      </c>
      <c r="G35" s="14" t="inlineStr">
        <is>
          <t>Centro-Oeste</t>
        </is>
      </c>
      <c r="H35" s="17" t="n">
        <v>3</v>
      </c>
      <c r="I35" s="18" t="n">
        <v>4499</v>
      </c>
      <c r="J35" s="18">
        <f>H35*I35</f>
        <v/>
      </c>
      <c r="K35" s="18" t="n">
        <v>3800</v>
      </c>
      <c r="L35" s="18">
        <f>J35-(H35*K35)</f>
        <v/>
      </c>
    </row>
    <row r="36">
      <c r="A36" s="9" t="inlineStr">
        <is>
          <t>XBX-2024035</t>
        </is>
      </c>
      <c r="B36" s="10" t="n">
        <v>45301</v>
      </c>
      <c r="C36" s="9" t="inlineStr">
        <is>
          <t>2024-01</t>
        </is>
      </c>
      <c r="D36" s="11" t="inlineStr">
        <is>
          <t>Console Xbox Series S 512GB</t>
        </is>
      </c>
      <c r="E36" s="11" t="inlineStr">
        <is>
          <t>Console</t>
        </is>
      </c>
      <c r="F36" s="9" t="inlineStr">
        <is>
          <t>Loja Física</t>
        </is>
      </c>
      <c r="G36" s="9" t="inlineStr">
        <is>
          <t>Sul</t>
        </is>
      </c>
      <c r="H36" s="12" t="n">
        <v>2</v>
      </c>
      <c r="I36" s="13" t="n">
        <v>2649</v>
      </c>
      <c r="J36" s="13">
        <f>H36*I36</f>
        <v/>
      </c>
      <c r="K36" s="13" t="n">
        <v>2100</v>
      </c>
      <c r="L36" s="13">
        <f>J36-(H36*K36)</f>
        <v/>
      </c>
    </row>
    <row r="37">
      <c r="A37" s="14" t="inlineStr">
        <is>
          <t>XBX-2024036</t>
        </is>
      </c>
      <c r="B37" s="15" t="n">
        <v>45321</v>
      </c>
      <c r="C37" s="14" t="inlineStr">
        <is>
          <t>2024-01</t>
        </is>
      </c>
      <c r="D37" s="16" t="inlineStr">
        <is>
          <t>Controle Sem Fio Xbox - Robot White</t>
        </is>
      </c>
      <c r="E37" s="16" t="inlineStr">
        <is>
          <t>Acessório</t>
        </is>
      </c>
      <c r="F37" s="14" t="inlineStr">
        <is>
          <t>E-commerce</t>
        </is>
      </c>
      <c r="G37" s="14" t="inlineStr">
        <is>
          <t>Sudeste</t>
        </is>
      </c>
      <c r="H37" s="17" t="n">
        <v>5</v>
      </c>
      <c r="I37" s="18" t="n">
        <v>499</v>
      </c>
      <c r="J37" s="18">
        <f>H37*I37</f>
        <v/>
      </c>
      <c r="K37" s="18" t="n">
        <v>320</v>
      </c>
      <c r="L37" s="18">
        <f>J37-(H37*K37)</f>
        <v/>
      </c>
    </row>
    <row r="38">
      <c r="A38" s="9" t="inlineStr">
        <is>
          <t>XBX-2024037</t>
        </is>
      </c>
      <c r="B38" s="10" t="n">
        <v>45540</v>
      </c>
      <c r="C38" s="9" t="inlineStr">
        <is>
          <t>2024-09</t>
        </is>
      </c>
      <c r="D38" s="11" t="inlineStr">
        <is>
          <t>Console Xbox Series S 512GB</t>
        </is>
      </c>
      <c r="E38" s="11" t="inlineStr">
        <is>
          <t>Console</t>
        </is>
      </c>
      <c r="F38" s="9" t="inlineStr">
        <is>
          <t>E-commerce</t>
        </is>
      </c>
      <c r="G38" s="9" t="inlineStr">
        <is>
          <t>Sul</t>
        </is>
      </c>
      <c r="H38" s="12" t="n">
        <v>3</v>
      </c>
      <c r="I38" s="13" t="n">
        <v>2649</v>
      </c>
      <c r="J38" s="13">
        <f>H38*I38</f>
        <v/>
      </c>
      <c r="K38" s="13" t="n">
        <v>2100</v>
      </c>
      <c r="L38" s="13">
        <f>J38-(H38*K38)</f>
        <v/>
      </c>
    </row>
    <row r="39">
      <c r="A39" s="14" t="inlineStr">
        <is>
          <t>XBX-2024038</t>
        </is>
      </c>
      <c r="B39" s="15" t="n">
        <v>45535</v>
      </c>
      <c r="C39" s="14" t="inlineStr">
        <is>
          <t>2024-08</t>
        </is>
      </c>
      <c r="D39" s="16" t="inlineStr">
        <is>
          <t>Forza Horizon 5 Premium</t>
        </is>
      </c>
      <c r="E39" s="16" t="inlineStr">
        <is>
          <t>Jogo</t>
        </is>
      </c>
      <c r="F39" s="14" t="inlineStr">
        <is>
          <t>Loja Física</t>
        </is>
      </c>
      <c r="G39" s="14" t="inlineStr">
        <is>
          <t>Norte</t>
        </is>
      </c>
      <c r="H39" s="17" t="n">
        <v>3</v>
      </c>
      <c r="I39" s="18" t="n">
        <v>399</v>
      </c>
      <c r="J39" s="18">
        <f>H39*I39</f>
        <v/>
      </c>
      <c r="K39" s="18" t="n">
        <v>220</v>
      </c>
      <c r="L39" s="18">
        <f>J39-(H39*K39)</f>
        <v/>
      </c>
    </row>
    <row r="40">
      <c r="A40" s="9" t="inlineStr">
        <is>
          <t>XBX-2024039</t>
        </is>
      </c>
      <c r="B40" s="10" t="n">
        <v>45508</v>
      </c>
      <c r="C40" s="9" t="inlineStr">
        <is>
          <t>2024-08</t>
        </is>
      </c>
      <c r="D40" s="11" t="inlineStr">
        <is>
          <t>Controle Sem Fio Xbox - Robot White</t>
        </is>
      </c>
      <c r="E40" s="11" t="inlineStr">
        <is>
          <t>Acessório</t>
        </is>
      </c>
      <c r="F40" s="9" t="inlineStr">
        <is>
          <t>Marketplace</t>
        </is>
      </c>
      <c r="G40" s="9" t="inlineStr">
        <is>
          <t>Sul</t>
        </is>
      </c>
      <c r="H40" s="12" t="n">
        <v>5</v>
      </c>
      <c r="I40" s="13" t="n">
        <v>499</v>
      </c>
      <c r="J40" s="13">
        <f>H40*I40</f>
        <v/>
      </c>
      <c r="K40" s="13" t="n">
        <v>320</v>
      </c>
      <c r="L40" s="13">
        <f>J40-(H40*K40)</f>
        <v/>
      </c>
    </row>
    <row r="41">
      <c r="A41" s="14" t="inlineStr">
        <is>
          <t>XBX-2024040</t>
        </is>
      </c>
      <c r="B41" s="15" t="n">
        <v>45451</v>
      </c>
      <c r="C41" s="14" t="inlineStr">
        <is>
          <t>2024-06</t>
        </is>
      </c>
      <c r="D41" s="16" t="inlineStr">
        <is>
          <t>Xbox Game Pass Ultimate 3 Meses</t>
        </is>
      </c>
      <c r="E41" s="16" t="inlineStr">
        <is>
          <t>Assinatura</t>
        </is>
      </c>
      <c r="F41" s="14" t="inlineStr">
        <is>
          <t>Loja Física</t>
        </is>
      </c>
      <c r="G41" s="14" t="inlineStr">
        <is>
          <t>Norte</t>
        </is>
      </c>
      <c r="H41" s="17" t="n">
        <v>6</v>
      </c>
      <c r="I41" s="18" t="n">
        <v>149</v>
      </c>
      <c r="J41" s="18">
        <f>H41*I41</f>
        <v/>
      </c>
      <c r="K41" s="18" t="n">
        <v>100</v>
      </c>
      <c r="L41" s="18">
        <f>J41-(H41*K41)</f>
        <v/>
      </c>
    </row>
    <row r="42">
      <c r="A42" s="9" t="inlineStr">
        <is>
          <t>XBX-2024041</t>
        </is>
      </c>
      <c r="B42" s="10" t="n">
        <v>45523</v>
      </c>
      <c r="C42" s="9" t="inlineStr">
        <is>
          <t>2024-08</t>
        </is>
      </c>
      <c r="D42" s="11" t="inlineStr">
        <is>
          <t>Console Xbox Series S 512GB</t>
        </is>
      </c>
      <c r="E42" s="11" t="inlineStr">
        <is>
          <t>Console</t>
        </is>
      </c>
      <c r="F42" s="9" t="inlineStr">
        <is>
          <t>E-commerce</t>
        </is>
      </c>
      <c r="G42" s="9" t="inlineStr">
        <is>
          <t>Sudeste</t>
        </is>
      </c>
      <c r="H42" s="12" t="n">
        <v>1</v>
      </c>
      <c r="I42" s="13" t="n">
        <v>2649</v>
      </c>
      <c r="J42" s="13">
        <f>H42*I42</f>
        <v/>
      </c>
      <c r="K42" s="13" t="n">
        <v>2100</v>
      </c>
      <c r="L42" s="13">
        <f>J42-(H42*K42)</f>
        <v/>
      </c>
    </row>
    <row r="43">
      <c r="A43" s="14" t="inlineStr">
        <is>
          <t>XBX-2024042</t>
        </is>
      </c>
      <c r="B43" s="15" t="n">
        <v>45465</v>
      </c>
      <c r="C43" s="14" t="inlineStr">
        <is>
          <t>2024-06</t>
        </is>
      </c>
      <c r="D43" s="16" t="inlineStr">
        <is>
          <t>Console Xbox Series X 1TB</t>
        </is>
      </c>
      <c r="E43" s="16" t="inlineStr">
        <is>
          <t>Console</t>
        </is>
      </c>
      <c r="F43" s="14" t="inlineStr">
        <is>
          <t>Marketplace</t>
        </is>
      </c>
      <c r="G43" s="14" t="inlineStr">
        <is>
          <t>Sul</t>
        </is>
      </c>
      <c r="H43" s="17" t="n">
        <v>3</v>
      </c>
      <c r="I43" s="18" t="n">
        <v>4499</v>
      </c>
      <c r="J43" s="18">
        <f>H43*I43</f>
        <v/>
      </c>
      <c r="K43" s="18" t="n">
        <v>3800</v>
      </c>
      <c r="L43" s="18">
        <f>J43-(H43*K43)</f>
        <v/>
      </c>
    </row>
    <row r="44">
      <c r="A44" s="9" t="inlineStr">
        <is>
          <t>XBX-2024043</t>
        </is>
      </c>
      <c r="B44" s="10" t="n">
        <v>45404</v>
      </c>
      <c r="C44" s="9" t="inlineStr">
        <is>
          <t>2024-04</t>
        </is>
      </c>
      <c r="D44" s="11" t="inlineStr">
        <is>
          <t>Console Xbox Series X 1TB</t>
        </is>
      </c>
      <c r="E44" s="11" t="inlineStr">
        <is>
          <t>Console</t>
        </is>
      </c>
      <c r="F44" s="9" t="inlineStr">
        <is>
          <t>Marketplace</t>
        </is>
      </c>
      <c r="G44" s="9" t="inlineStr">
        <is>
          <t>Sudeste</t>
        </is>
      </c>
      <c r="H44" s="12" t="n">
        <v>1</v>
      </c>
      <c r="I44" s="13" t="n">
        <v>4499</v>
      </c>
      <c r="J44" s="13">
        <f>H44*I44</f>
        <v/>
      </c>
      <c r="K44" s="13" t="n">
        <v>3800</v>
      </c>
      <c r="L44" s="13">
        <f>J44-(H44*K44)</f>
        <v/>
      </c>
    </row>
    <row r="45">
      <c r="A45" s="14" t="inlineStr">
        <is>
          <t>XBX-2024044</t>
        </is>
      </c>
      <c r="B45" s="15" t="n">
        <v>45409</v>
      </c>
      <c r="C45" s="14" t="inlineStr">
        <is>
          <t>2024-04</t>
        </is>
      </c>
      <c r="D45" s="16" t="inlineStr">
        <is>
          <t>Console Xbox Series S 512GB</t>
        </is>
      </c>
      <c r="E45" s="16" t="inlineStr">
        <is>
          <t>Console</t>
        </is>
      </c>
      <c r="F45" s="14" t="inlineStr">
        <is>
          <t>Loja Física</t>
        </is>
      </c>
      <c r="G45" s="14" t="inlineStr">
        <is>
          <t>Sudeste</t>
        </is>
      </c>
      <c r="H45" s="17" t="n">
        <v>1</v>
      </c>
      <c r="I45" s="18" t="n">
        <v>2649</v>
      </c>
      <c r="J45" s="18">
        <f>H45*I45</f>
        <v/>
      </c>
      <c r="K45" s="18" t="n">
        <v>2100</v>
      </c>
      <c r="L45" s="18">
        <f>J45-(H45*K45)</f>
        <v/>
      </c>
    </row>
    <row r="46">
      <c r="A46" s="9" t="inlineStr">
        <is>
          <t>XBX-2024045</t>
        </is>
      </c>
      <c r="B46" s="10" t="n">
        <v>45555</v>
      </c>
      <c r="C46" s="9" t="inlineStr">
        <is>
          <t>2024-09</t>
        </is>
      </c>
      <c r="D46" s="11" t="inlineStr">
        <is>
          <t>Controle Sem Fio Xbox - Robot White</t>
        </is>
      </c>
      <c r="E46" s="11" t="inlineStr">
        <is>
          <t>Acessório</t>
        </is>
      </c>
      <c r="F46" s="9" t="inlineStr">
        <is>
          <t>Marketplace</t>
        </is>
      </c>
      <c r="G46" s="9" t="inlineStr">
        <is>
          <t>Centro-Oeste</t>
        </is>
      </c>
      <c r="H46" s="12" t="n">
        <v>3</v>
      </c>
      <c r="I46" s="13" t="n">
        <v>499</v>
      </c>
      <c r="J46" s="13">
        <f>H46*I46</f>
        <v/>
      </c>
      <c r="K46" s="13" t="n">
        <v>320</v>
      </c>
      <c r="L46" s="13">
        <f>J46-(H46*K46)</f>
        <v/>
      </c>
    </row>
    <row r="47">
      <c r="A47" s="14" t="inlineStr">
        <is>
          <t>XBX-2024046</t>
        </is>
      </c>
      <c r="B47" s="15" t="n">
        <v>45401</v>
      </c>
      <c r="C47" s="14" t="inlineStr">
        <is>
          <t>2024-04</t>
        </is>
      </c>
      <c r="D47" s="16" t="inlineStr">
        <is>
          <t>Forza Horizon 5 Premium</t>
        </is>
      </c>
      <c r="E47" s="16" t="inlineStr">
        <is>
          <t>Jogo</t>
        </is>
      </c>
      <c r="F47" s="14" t="inlineStr">
        <is>
          <t>Marketplace</t>
        </is>
      </c>
      <c r="G47" s="14" t="inlineStr">
        <is>
          <t>Norte</t>
        </is>
      </c>
      <c r="H47" s="17" t="n">
        <v>3</v>
      </c>
      <c r="I47" s="18" t="n">
        <v>399</v>
      </c>
      <c r="J47" s="18">
        <f>H47*I47</f>
        <v/>
      </c>
      <c r="K47" s="18" t="n">
        <v>220</v>
      </c>
      <c r="L47" s="18">
        <f>J47-(H47*K47)</f>
        <v/>
      </c>
    </row>
    <row r="48">
      <c r="A48" s="9" t="inlineStr">
        <is>
          <t>XBX-2024047</t>
        </is>
      </c>
      <c r="B48" s="10" t="n">
        <v>45534</v>
      </c>
      <c r="C48" s="9" t="inlineStr">
        <is>
          <t>2024-08</t>
        </is>
      </c>
      <c r="D48" s="11" t="inlineStr">
        <is>
          <t>Controle Sem Fio Xbox - Robot White</t>
        </is>
      </c>
      <c r="E48" s="11" t="inlineStr">
        <is>
          <t>Acessório</t>
        </is>
      </c>
      <c r="F48" s="9" t="inlineStr">
        <is>
          <t>Loja Física</t>
        </is>
      </c>
      <c r="G48" s="9" t="inlineStr">
        <is>
          <t>Sul</t>
        </is>
      </c>
      <c r="H48" s="12" t="n">
        <v>4</v>
      </c>
      <c r="I48" s="13" t="n">
        <v>499</v>
      </c>
      <c r="J48" s="13">
        <f>H48*I48</f>
        <v/>
      </c>
      <c r="K48" s="13" t="n">
        <v>320</v>
      </c>
      <c r="L48" s="13">
        <f>J48-(H48*K48)</f>
        <v/>
      </c>
    </row>
    <row r="49">
      <c r="A49" s="14" t="inlineStr">
        <is>
          <t>XBX-2024048</t>
        </is>
      </c>
      <c r="B49" s="15" t="n">
        <v>45340</v>
      </c>
      <c r="C49" s="14" t="inlineStr">
        <is>
          <t>2024-02</t>
        </is>
      </c>
      <c r="D49" s="16" t="inlineStr">
        <is>
          <t>Console Xbox Series S 512GB</t>
        </is>
      </c>
      <c r="E49" s="16" t="inlineStr">
        <is>
          <t>Console</t>
        </is>
      </c>
      <c r="F49" s="14" t="inlineStr">
        <is>
          <t>Loja Física</t>
        </is>
      </c>
      <c r="G49" s="14" t="inlineStr">
        <is>
          <t>Nordeste</t>
        </is>
      </c>
      <c r="H49" s="17" t="n">
        <v>3</v>
      </c>
      <c r="I49" s="18" t="n">
        <v>2649</v>
      </c>
      <c r="J49" s="18">
        <f>H49*I49</f>
        <v/>
      </c>
      <c r="K49" s="18" t="n">
        <v>2100</v>
      </c>
      <c r="L49" s="18">
        <f>J49-(H49*K49)</f>
        <v/>
      </c>
    </row>
    <row r="50">
      <c r="A50" s="9" t="inlineStr">
        <is>
          <t>XBX-2024049</t>
        </is>
      </c>
      <c r="B50" s="10" t="n">
        <v>45508</v>
      </c>
      <c r="C50" s="9" t="inlineStr">
        <is>
          <t>2024-08</t>
        </is>
      </c>
      <c r="D50" s="11" t="inlineStr">
        <is>
          <t>Xbox Game Pass Ultimate 3 Meses</t>
        </is>
      </c>
      <c r="E50" s="11" t="inlineStr">
        <is>
          <t>Assinatura</t>
        </is>
      </c>
      <c r="F50" s="9" t="inlineStr">
        <is>
          <t>Marketplace</t>
        </is>
      </c>
      <c r="G50" s="9" t="inlineStr">
        <is>
          <t>Sudeste</t>
        </is>
      </c>
      <c r="H50" s="12" t="n">
        <v>8</v>
      </c>
      <c r="I50" s="13" t="n">
        <v>149</v>
      </c>
      <c r="J50" s="13">
        <f>H50*I50</f>
        <v/>
      </c>
      <c r="K50" s="13" t="n">
        <v>100</v>
      </c>
      <c r="L50" s="13">
        <f>J50-(H50*K50)</f>
        <v/>
      </c>
    </row>
    <row r="51">
      <c r="A51" s="14" t="inlineStr">
        <is>
          <t>XBX-2024050</t>
        </is>
      </c>
      <c r="B51" s="15" t="n">
        <v>45342</v>
      </c>
      <c r="C51" s="14" t="inlineStr">
        <is>
          <t>2024-02</t>
        </is>
      </c>
      <c r="D51" s="16" t="inlineStr">
        <is>
          <t>Console Xbox Series X 1TB</t>
        </is>
      </c>
      <c r="E51" s="16" t="inlineStr">
        <is>
          <t>Console</t>
        </is>
      </c>
      <c r="F51" s="14" t="inlineStr">
        <is>
          <t>Marketplace</t>
        </is>
      </c>
      <c r="G51" s="14" t="inlineStr">
        <is>
          <t>Nordeste</t>
        </is>
      </c>
      <c r="H51" s="17" t="n">
        <v>2</v>
      </c>
      <c r="I51" s="18" t="n">
        <v>4499</v>
      </c>
      <c r="J51" s="18">
        <f>H51*I51</f>
        <v/>
      </c>
      <c r="K51" s="18" t="n">
        <v>3800</v>
      </c>
      <c r="L51" s="18">
        <f>J51-(H51*K51)</f>
        <v/>
      </c>
    </row>
    <row r="52">
      <c r="A52" s="9" t="inlineStr">
        <is>
          <t>XBX-2024051</t>
        </is>
      </c>
      <c r="B52" s="10" t="n">
        <v>45347</v>
      </c>
      <c r="C52" s="9" t="inlineStr">
        <is>
          <t>2024-02</t>
        </is>
      </c>
      <c r="D52" s="11" t="inlineStr">
        <is>
          <t>Controle Sem Fio Xbox - Robot White</t>
        </is>
      </c>
      <c r="E52" s="11" t="inlineStr">
        <is>
          <t>Acessório</t>
        </is>
      </c>
      <c r="F52" s="9" t="inlineStr">
        <is>
          <t>E-commerce</t>
        </is>
      </c>
      <c r="G52" s="9" t="inlineStr">
        <is>
          <t>Norte</t>
        </is>
      </c>
      <c r="H52" s="12" t="n">
        <v>2</v>
      </c>
      <c r="I52" s="13" t="n">
        <v>499</v>
      </c>
      <c r="J52" s="13">
        <f>H52*I52</f>
        <v/>
      </c>
      <c r="K52" s="13" t="n">
        <v>320</v>
      </c>
      <c r="L52" s="13">
        <f>J52-(H52*K52)</f>
        <v/>
      </c>
    </row>
    <row r="53">
      <c r="A53" s="14" t="inlineStr">
        <is>
          <t>XBX-2024052</t>
        </is>
      </c>
      <c r="B53" s="15" t="n">
        <v>45521</v>
      </c>
      <c r="C53" s="14" t="inlineStr">
        <is>
          <t>2024-08</t>
        </is>
      </c>
      <c r="D53" s="16" t="inlineStr">
        <is>
          <t>Controle Sem Fio Xbox - Carbon Black</t>
        </is>
      </c>
      <c r="E53" s="16" t="inlineStr">
        <is>
          <t>Acessório</t>
        </is>
      </c>
      <c r="F53" s="14" t="inlineStr">
        <is>
          <t>E-commerce</t>
        </is>
      </c>
      <c r="G53" s="14" t="inlineStr">
        <is>
          <t>Nordeste</t>
        </is>
      </c>
      <c r="H53" s="17" t="n">
        <v>4</v>
      </c>
      <c r="I53" s="18" t="n">
        <v>499</v>
      </c>
      <c r="J53" s="18">
        <f>H53*I53</f>
        <v/>
      </c>
      <c r="K53" s="18" t="n">
        <v>320</v>
      </c>
      <c r="L53" s="18">
        <f>J53-(H53*K53)</f>
        <v/>
      </c>
    </row>
    <row r="54">
      <c r="A54" s="9" t="inlineStr">
        <is>
          <t>XBX-2024053</t>
        </is>
      </c>
      <c r="B54" s="10" t="n">
        <v>45528</v>
      </c>
      <c r="C54" s="9" t="inlineStr">
        <is>
          <t>2024-08</t>
        </is>
      </c>
      <c r="D54" s="11" t="inlineStr">
        <is>
          <t>Controle Sem Fio Xbox - Robot White</t>
        </is>
      </c>
      <c r="E54" s="11" t="inlineStr">
        <is>
          <t>Acessório</t>
        </is>
      </c>
      <c r="F54" s="9" t="inlineStr">
        <is>
          <t>Loja Física</t>
        </is>
      </c>
      <c r="G54" s="9" t="inlineStr">
        <is>
          <t>Norte</t>
        </is>
      </c>
      <c r="H54" s="12" t="n">
        <v>1</v>
      </c>
      <c r="I54" s="13" t="n">
        <v>499</v>
      </c>
      <c r="J54" s="13">
        <f>H54*I54</f>
        <v/>
      </c>
      <c r="K54" s="13" t="n">
        <v>320</v>
      </c>
      <c r="L54" s="13">
        <f>J54-(H54*K54)</f>
        <v/>
      </c>
    </row>
    <row r="55">
      <c r="A55" s="14" t="inlineStr">
        <is>
          <t>XBX-2024054</t>
        </is>
      </c>
      <c r="B55" s="15" t="n">
        <v>45342</v>
      </c>
      <c r="C55" s="14" t="inlineStr">
        <is>
          <t>2024-02</t>
        </is>
      </c>
      <c r="D55" s="16" t="inlineStr">
        <is>
          <t>Console Xbox Series X 1TB</t>
        </is>
      </c>
      <c r="E55" s="16" t="inlineStr">
        <is>
          <t>Console</t>
        </is>
      </c>
      <c r="F55" s="14" t="inlineStr">
        <is>
          <t>Marketplace</t>
        </is>
      </c>
      <c r="G55" s="14" t="inlineStr">
        <is>
          <t>Sudeste</t>
        </is>
      </c>
      <c r="H55" s="17" t="n">
        <v>3</v>
      </c>
      <c r="I55" s="18" t="n">
        <v>4499</v>
      </c>
      <c r="J55" s="18">
        <f>H55*I55</f>
        <v/>
      </c>
      <c r="K55" s="18" t="n">
        <v>3800</v>
      </c>
      <c r="L55" s="18">
        <f>J55-(H55*K55)</f>
        <v/>
      </c>
    </row>
    <row r="56">
      <c r="A56" s="9" t="inlineStr">
        <is>
          <t>XBX-2024055</t>
        </is>
      </c>
      <c r="B56" s="10" t="n">
        <v>45339</v>
      </c>
      <c r="C56" s="9" t="inlineStr">
        <is>
          <t>2024-02</t>
        </is>
      </c>
      <c r="D56" s="11" t="inlineStr">
        <is>
          <t>Cyberpunk 2077: Phantom Liberty</t>
        </is>
      </c>
      <c r="E56" s="11" t="inlineStr">
        <is>
          <t>Jogo</t>
        </is>
      </c>
      <c r="F56" s="9" t="inlineStr">
        <is>
          <t>E-commerce</t>
        </is>
      </c>
      <c r="G56" s="9" t="inlineStr">
        <is>
          <t>Centro-Oeste</t>
        </is>
      </c>
      <c r="H56" s="12" t="n">
        <v>4</v>
      </c>
      <c r="I56" s="13" t="n">
        <v>299</v>
      </c>
      <c r="J56" s="13">
        <f>H56*I56</f>
        <v/>
      </c>
      <c r="K56" s="13" t="n">
        <v>150</v>
      </c>
      <c r="L56" s="13">
        <f>J56-(H56*K56)</f>
        <v/>
      </c>
    </row>
    <row r="57">
      <c r="A57" s="14" t="inlineStr">
        <is>
          <t>XBX-2024056</t>
        </is>
      </c>
      <c r="B57" s="15" t="n">
        <v>45540</v>
      </c>
      <c r="C57" s="14" t="inlineStr">
        <is>
          <t>2024-09</t>
        </is>
      </c>
      <c r="D57" s="16" t="inlineStr">
        <is>
          <t>Starfield - Edição Standard</t>
        </is>
      </c>
      <c r="E57" s="16" t="inlineStr">
        <is>
          <t>Jogo</t>
        </is>
      </c>
      <c r="F57" s="14" t="inlineStr">
        <is>
          <t>Loja Física</t>
        </is>
      </c>
      <c r="G57" s="14" t="inlineStr">
        <is>
          <t>Sudeste</t>
        </is>
      </c>
      <c r="H57" s="17" t="n">
        <v>4</v>
      </c>
      <c r="I57" s="18" t="n">
        <v>349</v>
      </c>
      <c r="J57" s="18">
        <f>H57*I57</f>
        <v/>
      </c>
      <c r="K57" s="18" t="n">
        <v>180</v>
      </c>
      <c r="L57" s="18">
        <f>J57-(H57*K57)</f>
        <v/>
      </c>
    </row>
    <row r="58">
      <c r="A58" s="9" t="inlineStr">
        <is>
          <t>XBX-2024057</t>
        </is>
      </c>
      <c r="B58" s="10" t="n">
        <v>45376</v>
      </c>
      <c r="C58" s="9" t="inlineStr">
        <is>
          <t>2024-03</t>
        </is>
      </c>
      <c r="D58" s="11" t="inlineStr">
        <is>
          <t>Xbox Game Pass Ultimate 3 Meses</t>
        </is>
      </c>
      <c r="E58" s="11" t="inlineStr">
        <is>
          <t>Assinatura</t>
        </is>
      </c>
      <c r="F58" s="9" t="inlineStr">
        <is>
          <t>Loja Física</t>
        </is>
      </c>
      <c r="G58" s="9" t="inlineStr">
        <is>
          <t>Nordeste</t>
        </is>
      </c>
      <c r="H58" s="12" t="n">
        <v>1</v>
      </c>
      <c r="I58" s="13" t="n">
        <v>149</v>
      </c>
      <c r="J58" s="13">
        <f>H58*I58</f>
        <v/>
      </c>
      <c r="K58" s="13" t="n">
        <v>100</v>
      </c>
      <c r="L58" s="13">
        <f>J58-(H58*K58)</f>
        <v/>
      </c>
    </row>
    <row r="59">
      <c r="A59" s="14" t="inlineStr">
        <is>
          <t>XBX-2024058</t>
        </is>
      </c>
      <c r="B59" s="15" t="n">
        <v>45524</v>
      </c>
      <c r="C59" s="14" t="inlineStr">
        <is>
          <t>2024-08</t>
        </is>
      </c>
      <c r="D59" s="16" t="inlineStr">
        <is>
          <t>Headset Sem Fio Xbox Stereo</t>
        </is>
      </c>
      <c r="E59" s="16" t="inlineStr">
        <is>
          <t>Acessório</t>
        </is>
      </c>
      <c r="F59" s="14" t="inlineStr">
        <is>
          <t>Marketplace</t>
        </is>
      </c>
      <c r="G59" s="14" t="inlineStr">
        <is>
          <t>Norte</t>
        </is>
      </c>
      <c r="H59" s="17" t="n">
        <v>4</v>
      </c>
      <c r="I59" s="18" t="n">
        <v>799</v>
      </c>
      <c r="J59" s="18">
        <f>H59*I59</f>
        <v/>
      </c>
      <c r="K59" s="18" t="n">
        <v>550</v>
      </c>
      <c r="L59" s="18">
        <f>J59-(H59*K59)</f>
        <v/>
      </c>
    </row>
    <row r="60">
      <c r="A60" s="9" t="inlineStr">
        <is>
          <t>XBX-2024059</t>
        </is>
      </c>
      <c r="B60" s="10" t="n">
        <v>45541</v>
      </c>
      <c r="C60" s="9" t="inlineStr">
        <is>
          <t>2024-09</t>
        </is>
      </c>
      <c r="D60" s="11" t="inlineStr">
        <is>
          <t>Controle Sem Fio Xbox - Carbon Black</t>
        </is>
      </c>
      <c r="E60" s="11" t="inlineStr">
        <is>
          <t>Acessório</t>
        </is>
      </c>
      <c r="F60" s="9" t="inlineStr">
        <is>
          <t>Loja Física</t>
        </is>
      </c>
      <c r="G60" s="9" t="inlineStr">
        <is>
          <t>Sul</t>
        </is>
      </c>
      <c r="H60" s="12" t="n">
        <v>2</v>
      </c>
      <c r="I60" s="13" t="n">
        <v>499</v>
      </c>
      <c r="J60" s="13">
        <f>H60*I60</f>
        <v/>
      </c>
      <c r="K60" s="13" t="n">
        <v>320</v>
      </c>
      <c r="L60" s="13">
        <f>J60-(H60*K60)</f>
        <v/>
      </c>
    </row>
    <row r="61">
      <c r="A61" s="14" t="inlineStr">
        <is>
          <t>XBX-2024060</t>
        </is>
      </c>
      <c r="B61" s="15" t="n">
        <v>45321</v>
      </c>
      <c r="C61" s="14" t="inlineStr">
        <is>
          <t>2024-01</t>
        </is>
      </c>
      <c r="D61" s="16" t="inlineStr">
        <is>
          <t>EA Sports FC 24 - Xbox Series</t>
        </is>
      </c>
      <c r="E61" s="16" t="inlineStr">
        <is>
          <t>Jogo</t>
        </is>
      </c>
      <c r="F61" s="14" t="inlineStr">
        <is>
          <t>Marketplace</t>
        </is>
      </c>
      <c r="G61" s="14" t="inlineStr">
        <is>
          <t>Nordeste</t>
        </is>
      </c>
      <c r="H61" s="17" t="n">
        <v>1</v>
      </c>
      <c r="I61" s="18" t="n">
        <v>350</v>
      </c>
      <c r="J61" s="18">
        <f>H61*I61</f>
        <v/>
      </c>
      <c r="K61" s="18" t="n">
        <v>200</v>
      </c>
      <c r="L61" s="18">
        <f>J61-(H61*K61)</f>
        <v/>
      </c>
    </row>
    <row r="62">
      <c r="A62" s="9" t="inlineStr">
        <is>
          <t>XBX-2024061</t>
        </is>
      </c>
      <c r="B62" s="10" t="n">
        <v>45321</v>
      </c>
      <c r="C62" s="9" t="inlineStr">
        <is>
          <t>2024-01</t>
        </is>
      </c>
      <c r="D62" s="11" t="inlineStr">
        <is>
          <t>Console Xbox Series X 1TB</t>
        </is>
      </c>
      <c r="E62" s="11" t="inlineStr">
        <is>
          <t>Console</t>
        </is>
      </c>
      <c r="F62" s="9" t="inlineStr">
        <is>
          <t>Loja Física</t>
        </is>
      </c>
      <c r="G62" s="9" t="inlineStr">
        <is>
          <t>Norte</t>
        </is>
      </c>
      <c r="H62" s="12" t="n">
        <v>3</v>
      </c>
      <c r="I62" s="13" t="n">
        <v>4499</v>
      </c>
      <c r="J62" s="13">
        <f>H62*I62</f>
        <v/>
      </c>
      <c r="K62" s="13" t="n">
        <v>3800</v>
      </c>
      <c r="L62" s="13">
        <f>J62-(H62*K62)</f>
        <v/>
      </c>
    </row>
    <row r="63">
      <c r="A63" s="14" t="inlineStr">
        <is>
          <t>XBX-2024062</t>
        </is>
      </c>
      <c r="B63" s="15" t="n">
        <v>45563</v>
      </c>
      <c r="C63" s="14" t="inlineStr">
        <is>
          <t>2024-09</t>
        </is>
      </c>
      <c r="D63" s="16" t="inlineStr">
        <is>
          <t>Controle Sem Fio Xbox - Carbon Black</t>
        </is>
      </c>
      <c r="E63" s="16" t="inlineStr">
        <is>
          <t>Acessório</t>
        </is>
      </c>
      <c r="F63" s="14" t="inlineStr">
        <is>
          <t>Marketplace</t>
        </is>
      </c>
      <c r="G63" s="14" t="inlineStr">
        <is>
          <t>Sudeste</t>
        </is>
      </c>
      <c r="H63" s="17" t="n">
        <v>1</v>
      </c>
      <c r="I63" s="18" t="n">
        <v>499</v>
      </c>
      <c r="J63" s="18">
        <f>H63*I63</f>
        <v/>
      </c>
      <c r="K63" s="18" t="n">
        <v>320</v>
      </c>
      <c r="L63" s="18">
        <f>J63-(H63*K63)</f>
        <v/>
      </c>
    </row>
    <row r="64">
      <c r="A64" s="9" t="inlineStr">
        <is>
          <t>XBX-2024063</t>
        </is>
      </c>
      <c r="B64" s="10" t="n">
        <v>45387</v>
      </c>
      <c r="C64" s="9" t="inlineStr">
        <is>
          <t>2024-04</t>
        </is>
      </c>
      <c r="D64" s="11" t="inlineStr">
        <is>
          <t>Console Xbox Series S 512GB</t>
        </is>
      </c>
      <c r="E64" s="11" t="inlineStr">
        <is>
          <t>Console</t>
        </is>
      </c>
      <c r="F64" s="9" t="inlineStr">
        <is>
          <t>E-commerce</t>
        </is>
      </c>
      <c r="G64" s="9" t="inlineStr">
        <is>
          <t>Sul</t>
        </is>
      </c>
      <c r="H64" s="12" t="n">
        <v>3</v>
      </c>
      <c r="I64" s="13" t="n">
        <v>2649</v>
      </c>
      <c r="J64" s="13">
        <f>H64*I64</f>
        <v/>
      </c>
      <c r="K64" s="13" t="n">
        <v>2100</v>
      </c>
      <c r="L64" s="13">
        <f>J64-(H64*K64)</f>
        <v/>
      </c>
    </row>
    <row r="65">
      <c r="A65" s="14" t="inlineStr">
        <is>
          <t>XBX-2024064</t>
        </is>
      </c>
      <c r="B65" s="15" t="n">
        <v>45498</v>
      </c>
      <c r="C65" s="14" t="inlineStr">
        <is>
          <t>2024-07</t>
        </is>
      </c>
      <c r="D65" s="16" t="inlineStr">
        <is>
          <t>Console Xbox Series S 512GB</t>
        </is>
      </c>
      <c r="E65" s="16" t="inlineStr">
        <is>
          <t>Console</t>
        </is>
      </c>
      <c r="F65" s="14" t="inlineStr">
        <is>
          <t>E-commerce</t>
        </is>
      </c>
      <c r="G65" s="14" t="inlineStr">
        <is>
          <t>Norte</t>
        </is>
      </c>
      <c r="H65" s="17" t="n">
        <v>3</v>
      </c>
      <c r="I65" s="18" t="n">
        <v>2649</v>
      </c>
      <c r="J65" s="18">
        <f>H65*I65</f>
        <v/>
      </c>
      <c r="K65" s="18" t="n">
        <v>2100</v>
      </c>
      <c r="L65" s="18">
        <f>J65-(H65*K65)</f>
        <v/>
      </c>
    </row>
    <row r="66">
      <c r="A66" s="9" t="inlineStr">
        <is>
          <t>XBX-2024065</t>
        </is>
      </c>
      <c r="B66" s="10" t="n">
        <v>45312</v>
      </c>
      <c r="C66" s="9" t="inlineStr">
        <is>
          <t>2024-01</t>
        </is>
      </c>
      <c r="D66" s="11" t="inlineStr">
        <is>
          <t>EA Sports FC 24 - Xbox Series</t>
        </is>
      </c>
      <c r="E66" s="11" t="inlineStr">
        <is>
          <t>Jogo</t>
        </is>
      </c>
      <c r="F66" s="9" t="inlineStr">
        <is>
          <t>Loja Física</t>
        </is>
      </c>
      <c r="G66" s="9" t="inlineStr">
        <is>
          <t>Norte</t>
        </is>
      </c>
      <c r="H66" s="12" t="n">
        <v>2</v>
      </c>
      <c r="I66" s="13" t="n">
        <v>350</v>
      </c>
      <c r="J66" s="13">
        <f>H66*I66</f>
        <v/>
      </c>
      <c r="K66" s="13" t="n">
        <v>200</v>
      </c>
      <c r="L66" s="13">
        <f>J66-(H66*K66)</f>
        <v/>
      </c>
    </row>
    <row r="67">
      <c r="A67" s="14" t="inlineStr">
        <is>
          <t>XBX-2024066</t>
        </is>
      </c>
      <c r="B67" s="15" t="n">
        <v>45559</v>
      </c>
      <c r="C67" s="14" t="inlineStr">
        <is>
          <t>2024-09</t>
        </is>
      </c>
      <c r="D67" s="16" t="inlineStr">
        <is>
          <t>Xbox Game Pass Ultimate 12 Meses</t>
        </is>
      </c>
      <c r="E67" s="16" t="inlineStr">
        <is>
          <t>Assinatura</t>
        </is>
      </c>
      <c r="F67" s="14" t="inlineStr">
        <is>
          <t>E-commerce</t>
        </is>
      </c>
      <c r="G67" s="14" t="inlineStr">
        <is>
          <t>Nordeste</t>
        </is>
      </c>
      <c r="H67" s="17" t="n">
        <v>5</v>
      </c>
      <c r="I67" s="18" t="n">
        <v>599</v>
      </c>
      <c r="J67" s="18">
        <f>H67*I67</f>
        <v/>
      </c>
      <c r="K67" s="18" t="n">
        <v>400</v>
      </c>
      <c r="L67" s="18">
        <f>J67-(H67*K67)</f>
        <v/>
      </c>
    </row>
    <row r="68">
      <c r="A68" s="9" t="inlineStr">
        <is>
          <t>XBX-2024067</t>
        </is>
      </c>
      <c r="B68" s="10" t="n">
        <v>45414</v>
      </c>
      <c r="C68" s="9" t="inlineStr">
        <is>
          <t>2024-05</t>
        </is>
      </c>
      <c r="D68" s="11" t="inlineStr">
        <is>
          <t>Headset Sem Fio Xbox Stereo</t>
        </is>
      </c>
      <c r="E68" s="11" t="inlineStr">
        <is>
          <t>Acessório</t>
        </is>
      </c>
      <c r="F68" s="9" t="inlineStr">
        <is>
          <t>E-commerce</t>
        </is>
      </c>
      <c r="G68" s="9" t="inlineStr">
        <is>
          <t>Nordeste</t>
        </is>
      </c>
      <c r="H68" s="12" t="n">
        <v>4</v>
      </c>
      <c r="I68" s="13" t="n">
        <v>799</v>
      </c>
      <c r="J68" s="13">
        <f>H68*I68</f>
        <v/>
      </c>
      <c r="K68" s="13" t="n">
        <v>550</v>
      </c>
      <c r="L68" s="13">
        <f>J68-(H68*K68)</f>
        <v/>
      </c>
    </row>
    <row r="69">
      <c r="A69" s="14" t="inlineStr">
        <is>
          <t>XBX-2024068</t>
        </is>
      </c>
      <c r="B69" s="15" t="n">
        <v>45526</v>
      </c>
      <c r="C69" s="14" t="inlineStr">
        <is>
          <t>2024-08</t>
        </is>
      </c>
      <c r="D69" s="16" t="inlineStr">
        <is>
          <t>Xbox Game Pass Ultimate 12 Meses</t>
        </is>
      </c>
      <c r="E69" s="16" t="inlineStr">
        <is>
          <t>Assinatura</t>
        </is>
      </c>
      <c r="F69" s="14" t="inlineStr">
        <is>
          <t>E-commerce</t>
        </is>
      </c>
      <c r="G69" s="14" t="inlineStr">
        <is>
          <t>Centro-Oeste</t>
        </is>
      </c>
      <c r="H69" s="17" t="n">
        <v>2</v>
      </c>
      <c r="I69" s="18" t="n">
        <v>599</v>
      </c>
      <c r="J69" s="18">
        <f>H69*I69</f>
        <v/>
      </c>
      <c r="K69" s="18" t="n">
        <v>400</v>
      </c>
      <c r="L69" s="18">
        <f>J69-(H69*K69)</f>
        <v/>
      </c>
    </row>
    <row r="70">
      <c r="A70" s="9" t="inlineStr">
        <is>
          <t>XBX-2024069</t>
        </is>
      </c>
      <c r="B70" s="10" t="n">
        <v>45343</v>
      </c>
      <c r="C70" s="9" t="inlineStr">
        <is>
          <t>2024-02</t>
        </is>
      </c>
      <c r="D70" s="11" t="inlineStr">
        <is>
          <t>Console Xbox Series S 512GB</t>
        </is>
      </c>
      <c r="E70" s="11" t="inlineStr">
        <is>
          <t>Console</t>
        </is>
      </c>
      <c r="F70" s="9" t="inlineStr">
        <is>
          <t>E-commerce</t>
        </is>
      </c>
      <c r="G70" s="9" t="inlineStr">
        <is>
          <t>Norte</t>
        </is>
      </c>
      <c r="H70" s="12" t="n">
        <v>3</v>
      </c>
      <c r="I70" s="13" t="n">
        <v>2649</v>
      </c>
      <c r="J70" s="13">
        <f>H70*I70</f>
        <v/>
      </c>
      <c r="K70" s="13" t="n">
        <v>2100</v>
      </c>
      <c r="L70" s="13">
        <f>J70-(H70*K70)</f>
        <v/>
      </c>
    </row>
    <row r="71">
      <c r="A71" s="14" t="inlineStr">
        <is>
          <t>XBX-2024070</t>
        </is>
      </c>
      <c r="B71" s="15" t="n">
        <v>45427</v>
      </c>
      <c r="C71" s="14" t="inlineStr">
        <is>
          <t>2024-05</t>
        </is>
      </c>
      <c r="D71" s="16" t="inlineStr">
        <is>
          <t>Controle Sem Fio Xbox - Carbon Black</t>
        </is>
      </c>
      <c r="E71" s="16" t="inlineStr">
        <is>
          <t>Acessório</t>
        </is>
      </c>
      <c r="F71" s="14" t="inlineStr">
        <is>
          <t>E-commerce</t>
        </is>
      </c>
      <c r="G71" s="14" t="inlineStr">
        <is>
          <t>Sul</t>
        </is>
      </c>
      <c r="H71" s="17" t="n">
        <v>3</v>
      </c>
      <c r="I71" s="18" t="n">
        <v>499</v>
      </c>
      <c r="J71" s="18">
        <f>H71*I71</f>
        <v/>
      </c>
      <c r="K71" s="18" t="n">
        <v>320</v>
      </c>
      <c r="L71" s="18">
        <f>J71-(H71*K71)</f>
        <v/>
      </c>
    </row>
    <row r="72">
      <c r="A72" s="9" t="inlineStr">
        <is>
          <t>XBX-2024071</t>
        </is>
      </c>
      <c r="B72" s="10" t="n">
        <v>45481</v>
      </c>
      <c r="C72" s="9" t="inlineStr">
        <is>
          <t>2024-07</t>
        </is>
      </c>
      <c r="D72" s="11" t="inlineStr">
        <is>
          <t>Headset Sem Fio Xbox Stereo</t>
        </is>
      </c>
      <c r="E72" s="11" t="inlineStr">
        <is>
          <t>Acessório</t>
        </is>
      </c>
      <c r="F72" s="9" t="inlineStr">
        <is>
          <t>Loja Física</t>
        </is>
      </c>
      <c r="G72" s="9" t="inlineStr">
        <is>
          <t>Norte</t>
        </is>
      </c>
      <c r="H72" s="12" t="n">
        <v>2</v>
      </c>
      <c r="I72" s="13" t="n">
        <v>799</v>
      </c>
      <c r="J72" s="13">
        <f>H72*I72</f>
        <v/>
      </c>
      <c r="K72" s="13" t="n">
        <v>550</v>
      </c>
      <c r="L72" s="13">
        <f>J72-(H72*K72)</f>
        <v/>
      </c>
    </row>
    <row r="73">
      <c r="A73" s="14" t="inlineStr">
        <is>
          <t>XBX-2024072</t>
        </is>
      </c>
      <c r="B73" s="15" t="n">
        <v>45446</v>
      </c>
      <c r="C73" s="14" t="inlineStr">
        <is>
          <t>2024-06</t>
        </is>
      </c>
      <c r="D73" s="16" t="inlineStr">
        <is>
          <t>EA Sports FC 24 - Xbox Series</t>
        </is>
      </c>
      <c r="E73" s="16" t="inlineStr">
        <is>
          <t>Jogo</t>
        </is>
      </c>
      <c r="F73" s="14" t="inlineStr">
        <is>
          <t>Marketplace</t>
        </is>
      </c>
      <c r="G73" s="14" t="inlineStr">
        <is>
          <t>Norte</t>
        </is>
      </c>
      <c r="H73" s="17" t="n">
        <v>1</v>
      </c>
      <c r="I73" s="18" t="n">
        <v>350</v>
      </c>
      <c r="J73" s="18">
        <f>H73*I73</f>
        <v/>
      </c>
      <c r="K73" s="18" t="n">
        <v>200</v>
      </c>
      <c r="L73" s="18">
        <f>J73-(H73*K73)</f>
        <v/>
      </c>
    </row>
    <row r="74">
      <c r="A74" s="9" t="inlineStr">
        <is>
          <t>XBX-2024073</t>
        </is>
      </c>
      <c r="B74" s="10" t="n">
        <v>45445</v>
      </c>
      <c r="C74" s="9" t="inlineStr">
        <is>
          <t>2024-06</t>
        </is>
      </c>
      <c r="D74" s="11" t="inlineStr">
        <is>
          <t>Halo Infinite Campaign</t>
        </is>
      </c>
      <c r="E74" s="11" t="inlineStr">
        <is>
          <t>Jogo</t>
        </is>
      </c>
      <c r="F74" s="9" t="inlineStr">
        <is>
          <t>E-commerce</t>
        </is>
      </c>
      <c r="G74" s="9" t="inlineStr">
        <is>
          <t>Nordeste</t>
        </is>
      </c>
      <c r="H74" s="12" t="n">
        <v>2</v>
      </c>
      <c r="I74" s="13" t="n">
        <v>249</v>
      </c>
      <c r="J74" s="13">
        <f>H74*I74</f>
        <v/>
      </c>
      <c r="K74" s="13" t="n">
        <v>120</v>
      </c>
      <c r="L74" s="13">
        <f>J74-(H74*K74)</f>
        <v/>
      </c>
    </row>
    <row r="75">
      <c r="A75" s="14" t="inlineStr">
        <is>
          <t>XBX-2024074</t>
        </is>
      </c>
      <c r="B75" s="15" t="n">
        <v>45351</v>
      </c>
      <c r="C75" s="14" t="inlineStr">
        <is>
          <t>2024-02</t>
        </is>
      </c>
      <c r="D75" s="16" t="inlineStr">
        <is>
          <t>Console Xbox Series S 512GB</t>
        </is>
      </c>
      <c r="E75" s="16" t="inlineStr">
        <is>
          <t>Console</t>
        </is>
      </c>
      <c r="F75" s="14" t="inlineStr">
        <is>
          <t>Marketplace</t>
        </is>
      </c>
      <c r="G75" s="14" t="inlineStr">
        <is>
          <t>Sul</t>
        </is>
      </c>
      <c r="H75" s="17" t="n">
        <v>3</v>
      </c>
      <c r="I75" s="18" t="n">
        <v>2649</v>
      </c>
      <c r="J75" s="18">
        <f>H75*I75</f>
        <v/>
      </c>
      <c r="K75" s="18" t="n">
        <v>2100</v>
      </c>
      <c r="L75" s="18">
        <f>J75-(H75*K75)</f>
        <v/>
      </c>
    </row>
    <row r="76">
      <c r="A76" s="9" t="inlineStr">
        <is>
          <t>XBX-2024075</t>
        </is>
      </c>
      <c r="B76" s="10" t="n">
        <v>45431</v>
      </c>
      <c r="C76" s="9" t="inlineStr">
        <is>
          <t>2024-05</t>
        </is>
      </c>
      <c r="D76" s="11" t="inlineStr">
        <is>
          <t>Headset Sem Fio Xbox Stereo</t>
        </is>
      </c>
      <c r="E76" s="11" t="inlineStr">
        <is>
          <t>Acessório</t>
        </is>
      </c>
      <c r="F76" s="9" t="inlineStr">
        <is>
          <t>E-commerce</t>
        </is>
      </c>
      <c r="G76" s="9" t="inlineStr">
        <is>
          <t>Nordeste</t>
        </is>
      </c>
      <c r="H76" s="12" t="n">
        <v>5</v>
      </c>
      <c r="I76" s="13" t="n">
        <v>799</v>
      </c>
      <c r="J76" s="13">
        <f>H76*I76</f>
        <v/>
      </c>
      <c r="K76" s="13" t="n">
        <v>550</v>
      </c>
      <c r="L76" s="13">
        <f>J76-(H76*K76)</f>
        <v/>
      </c>
    </row>
    <row r="77">
      <c r="A77" s="14" t="inlineStr">
        <is>
          <t>XBX-2024076</t>
        </is>
      </c>
      <c r="B77" s="15" t="n">
        <v>45396</v>
      </c>
      <c r="C77" s="14" t="inlineStr">
        <is>
          <t>2024-04</t>
        </is>
      </c>
      <c r="D77" s="16" t="inlineStr">
        <is>
          <t>Halo Infinite Campaign</t>
        </is>
      </c>
      <c r="E77" s="16" t="inlineStr">
        <is>
          <t>Jogo</t>
        </is>
      </c>
      <c r="F77" s="14" t="inlineStr">
        <is>
          <t>Marketplace</t>
        </is>
      </c>
      <c r="G77" s="14" t="inlineStr">
        <is>
          <t>Centro-Oeste</t>
        </is>
      </c>
      <c r="H77" s="17" t="n">
        <v>5</v>
      </c>
      <c r="I77" s="18" t="n">
        <v>249</v>
      </c>
      <c r="J77" s="18">
        <f>H77*I77</f>
        <v/>
      </c>
      <c r="K77" s="18" t="n">
        <v>120</v>
      </c>
      <c r="L77" s="18">
        <f>J77-(H77*K77)</f>
        <v/>
      </c>
    </row>
    <row r="78">
      <c r="A78" s="9" t="inlineStr">
        <is>
          <t>XBX-2024077</t>
        </is>
      </c>
      <c r="B78" s="10" t="n">
        <v>45420</v>
      </c>
      <c r="C78" s="9" t="inlineStr">
        <is>
          <t>2024-05</t>
        </is>
      </c>
      <c r="D78" s="11" t="inlineStr">
        <is>
          <t>Console Xbox Series X 1TB</t>
        </is>
      </c>
      <c r="E78" s="11" t="inlineStr">
        <is>
          <t>Console</t>
        </is>
      </c>
      <c r="F78" s="9" t="inlineStr">
        <is>
          <t>Marketplace</t>
        </is>
      </c>
      <c r="G78" s="9" t="inlineStr">
        <is>
          <t>Centro-Oeste</t>
        </is>
      </c>
      <c r="H78" s="12" t="n">
        <v>1</v>
      </c>
      <c r="I78" s="13" t="n">
        <v>4499</v>
      </c>
      <c r="J78" s="13">
        <f>H78*I78</f>
        <v/>
      </c>
      <c r="K78" s="13" t="n">
        <v>3800</v>
      </c>
      <c r="L78" s="13">
        <f>J78-(H78*K78)</f>
        <v/>
      </c>
    </row>
    <row r="79">
      <c r="A79" s="14" t="inlineStr">
        <is>
          <t>XBX-2024078</t>
        </is>
      </c>
      <c r="B79" s="15" t="n">
        <v>45433</v>
      </c>
      <c r="C79" s="14" t="inlineStr">
        <is>
          <t>2024-05</t>
        </is>
      </c>
      <c r="D79" s="16" t="inlineStr">
        <is>
          <t>Console Xbox Series X 1TB</t>
        </is>
      </c>
      <c r="E79" s="16" t="inlineStr">
        <is>
          <t>Console</t>
        </is>
      </c>
      <c r="F79" s="14" t="inlineStr">
        <is>
          <t>Loja Física</t>
        </is>
      </c>
      <c r="G79" s="14" t="inlineStr">
        <is>
          <t>Sul</t>
        </is>
      </c>
      <c r="H79" s="17" t="n">
        <v>1</v>
      </c>
      <c r="I79" s="18" t="n">
        <v>4499</v>
      </c>
      <c r="J79" s="18">
        <f>H79*I79</f>
        <v/>
      </c>
      <c r="K79" s="18" t="n">
        <v>3800</v>
      </c>
      <c r="L79" s="18">
        <f>J79-(H79*K79)</f>
        <v/>
      </c>
    </row>
    <row r="80">
      <c r="A80" s="9" t="inlineStr">
        <is>
          <t>XBX-2024079</t>
        </is>
      </c>
      <c r="B80" s="10" t="n">
        <v>45426</v>
      </c>
      <c r="C80" s="9" t="inlineStr">
        <is>
          <t>2024-05</t>
        </is>
      </c>
      <c r="D80" s="11" t="inlineStr">
        <is>
          <t>Controle Sem Fio Xbox - Carbon Black</t>
        </is>
      </c>
      <c r="E80" s="11" t="inlineStr">
        <is>
          <t>Acessório</t>
        </is>
      </c>
      <c r="F80" s="9" t="inlineStr">
        <is>
          <t>Marketplace</t>
        </is>
      </c>
      <c r="G80" s="9" t="inlineStr">
        <is>
          <t>Centro-Oeste</t>
        </is>
      </c>
      <c r="H80" s="12" t="n">
        <v>4</v>
      </c>
      <c r="I80" s="13" t="n">
        <v>499</v>
      </c>
      <c r="J80" s="13">
        <f>H80*I80</f>
        <v/>
      </c>
      <c r="K80" s="13" t="n">
        <v>320</v>
      </c>
      <c r="L80" s="13">
        <f>J80-(H80*K80)</f>
        <v/>
      </c>
    </row>
    <row r="81">
      <c r="A81" s="14" t="inlineStr">
        <is>
          <t>XBX-2024080</t>
        </is>
      </c>
      <c r="B81" s="15" t="n">
        <v>45296</v>
      </c>
      <c r="C81" s="14" t="inlineStr">
        <is>
          <t>2024-01</t>
        </is>
      </c>
      <c r="D81" s="16" t="inlineStr">
        <is>
          <t>Console Xbox Series S 512GB</t>
        </is>
      </c>
      <c r="E81" s="16" t="inlineStr">
        <is>
          <t>Console</t>
        </is>
      </c>
      <c r="F81" s="14" t="inlineStr">
        <is>
          <t>Marketplace</t>
        </is>
      </c>
      <c r="G81" s="14" t="inlineStr">
        <is>
          <t>Sul</t>
        </is>
      </c>
      <c r="H81" s="17" t="n">
        <v>1</v>
      </c>
      <c r="I81" s="18" t="n">
        <v>2649</v>
      </c>
      <c r="J81" s="18">
        <f>H81*I81</f>
        <v/>
      </c>
      <c r="K81" s="18" t="n">
        <v>2100</v>
      </c>
      <c r="L81" s="18">
        <f>J81-(H81*K81)</f>
        <v/>
      </c>
    </row>
    <row r="82">
      <c r="A82" s="9" t="inlineStr">
        <is>
          <t>XBX-2024081</t>
        </is>
      </c>
      <c r="B82" s="10" t="n">
        <v>45571</v>
      </c>
      <c r="C82" s="9" t="inlineStr">
        <is>
          <t>2024-10</t>
        </is>
      </c>
      <c r="D82" s="11" t="inlineStr">
        <is>
          <t>Console Xbox Series X 1TB</t>
        </is>
      </c>
      <c r="E82" s="11" t="inlineStr">
        <is>
          <t>Console</t>
        </is>
      </c>
      <c r="F82" s="9" t="inlineStr">
        <is>
          <t>Marketplace</t>
        </is>
      </c>
      <c r="G82" s="9" t="inlineStr">
        <is>
          <t>Norte</t>
        </is>
      </c>
      <c r="H82" s="12" t="n">
        <v>2</v>
      </c>
      <c r="I82" s="13" t="n">
        <v>4499</v>
      </c>
      <c r="J82" s="13">
        <f>H82*I82</f>
        <v/>
      </c>
      <c r="K82" s="13" t="n">
        <v>3800</v>
      </c>
      <c r="L82" s="13">
        <f>J82-(H82*K82)</f>
        <v/>
      </c>
    </row>
    <row r="83">
      <c r="A83" s="14" t="inlineStr">
        <is>
          <t>XBX-2024082</t>
        </is>
      </c>
      <c r="B83" s="15" t="n">
        <v>45367</v>
      </c>
      <c r="C83" s="14" t="inlineStr">
        <is>
          <t>2024-03</t>
        </is>
      </c>
      <c r="D83" s="16" t="inlineStr">
        <is>
          <t>Xbox Game Pass Ultimate 3 Meses</t>
        </is>
      </c>
      <c r="E83" s="16" t="inlineStr">
        <is>
          <t>Assinatura</t>
        </is>
      </c>
      <c r="F83" s="14" t="inlineStr">
        <is>
          <t>E-commerce</t>
        </is>
      </c>
      <c r="G83" s="14" t="inlineStr">
        <is>
          <t>Nordeste</t>
        </is>
      </c>
      <c r="H83" s="17" t="n">
        <v>3</v>
      </c>
      <c r="I83" s="18" t="n">
        <v>149</v>
      </c>
      <c r="J83" s="18">
        <f>H83*I83</f>
        <v/>
      </c>
      <c r="K83" s="18" t="n">
        <v>100</v>
      </c>
      <c r="L83" s="18">
        <f>J83-(H83*K83)</f>
        <v/>
      </c>
    </row>
    <row r="84">
      <c r="A84" s="9" t="inlineStr">
        <is>
          <t>XBX-2024083</t>
        </is>
      </c>
      <c r="B84" s="10" t="n">
        <v>45478</v>
      </c>
      <c r="C84" s="9" t="inlineStr">
        <is>
          <t>2024-07</t>
        </is>
      </c>
      <c r="D84" s="11" t="inlineStr">
        <is>
          <t>Cyberpunk 2077: Phantom Liberty</t>
        </is>
      </c>
      <c r="E84" s="11" t="inlineStr">
        <is>
          <t>Jogo</t>
        </is>
      </c>
      <c r="F84" s="9" t="inlineStr">
        <is>
          <t>Loja Física</t>
        </is>
      </c>
      <c r="G84" s="9" t="inlineStr">
        <is>
          <t>Sul</t>
        </is>
      </c>
      <c r="H84" s="12" t="n">
        <v>1</v>
      </c>
      <c r="I84" s="13" t="n">
        <v>299</v>
      </c>
      <c r="J84" s="13">
        <f>H84*I84</f>
        <v/>
      </c>
      <c r="K84" s="13" t="n">
        <v>150</v>
      </c>
      <c r="L84" s="13">
        <f>J84-(H84*K84)</f>
        <v/>
      </c>
    </row>
    <row r="85">
      <c r="A85" s="14" t="inlineStr">
        <is>
          <t>XBX-2024084</t>
        </is>
      </c>
      <c r="B85" s="15" t="n">
        <v>45419</v>
      </c>
      <c r="C85" s="14" t="inlineStr">
        <is>
          <t>2024-05</t>
        </is>
      </c>
      <c r="D85" s="16" t="inlineStr">
        <is>
          <t>Halo Infinite Campaign</t>
        </is>
      </c>
      <c r="E85" s="16" t="inlineStr">
        <is>
          <t>Jogo</t>
        </is>
      </c>
      <c r="F85" s="14" t="inlineStr">
        <is>
          <t>Loja Física</t>
        </is>
      </c>
      <c r="G85" s="14" t="inlineStr">
        <is>
          <t>Norte</t>
        </is>
      </c>
      <c r="H85" s="17" t="n">
        <v>2</v>
      </c>
      <c r="I85" s="18" t="n">
        <v>249</v>
      </c>
      <c r="J85" s="18">
        <f>H85*I85</f>
        <v/>
      </c>
      <c r="K85" s="18" t="n">
        <v>120</v>
      </c>
      <c r="L85" s="18">
        <f>J85-(H85*K85)</f>
        <v/>
      </c>
    </row>
    <row r="86">
      <c r="A86" s="9" t="inlineStr">
        <is>
          <t>XBX-2024085</t>
        </is>
      </c>
      <c r="B86" s="10" t="n">
        <v>45500</v>
      </c>
      <c r="C86" s="9" t="inlineStr">
        <is>
          <t>2024-07</t>
        </is>
      </c>
      <c r="D86" s="11" t="inlineStr">
        <is>
          <t>EA Sports FC 24 - Xbox Series</t>
        </is>
      </c>
      <c r="E86" s="11" t="inlineStr">
        <is>
          <t>Jogo</t>
        </is>
      </c>
      <c r="F86" s="9" t="inlineStr">
        <is>
          <t>E-commerce</t>
        </is>
      </c>
      <c r="G86" s="9" t="inlineStr">
        <is>
          <t>Sul</t>
        </is>
      </c>
      <c r="H86" s="12" t="n">
        <v>3</v>
      </c>
      <c r="I86" s="13" t="n">
        <v>350</v>
      </c>
      <c r="J86" s="13">
        <f>H86*I86</f>
        <v/>
      </c>
      <c r="K86" s="13" t="n">
        <v>200</v>
      </c>
      <c r="L86" s="13">
        <f>J86-(H86*K86)</f>
        <v/>
      </c>
    </row>
    <row r="87">
      <c r="A87" s="14" t="inlineStr">
        <is>
          <t>XBX-2024086</t>
        </is>
      </c>
      <c r="B87" s="15" t="n">
        <v>45382</v>
      </c>
      <c r="C87" s="14" t="inlineStr">
        <is>
          <t>2024-03</t>
        </is>
      </c>
      <c r="D87" s="16" t="inlineStr">
        <is>
          <t>Xbox Game Pass Ultimate 3 Meses</t>
        </is>
      </c>
      <c r="E87" s="16" t="inlineStr">
        <is>
          <t>Assinatura</t>
        </is>
      </c>
      <c r="F87" s="14" t="inlineStr">
        <is>
          <t>E-commerce</t>
        </is>
      </c>
      <c r="G87" s="14" t="inlineStr">
        <is>
          <t>Nordeste</t>
        </is>
      </c>
      <c r="H87" s="17" t="n">
        <v>1</v>
      </c>
      <c r="I87" s="18" t="n">
        <v>149</v>
      </c>
      <c r="J87" s="18">
        <f>H87*I87</f>
        <v/>
      </c>
      <c r="K87" s="18" t="n">
        <v>100</v>
      </c>
      <c r="L87" s="18">
        <f>J87-(H87*K87)</f>
        <v/>
      </c>
    </row>
    <row r="88">
      <c r="A88" s="9" t="inlineStr">
        <is>
          <t>XBX-2024087</t>
        </is>
      </c>
      <c r="B88" s="10" t="n">
        <v>45502</v>
      </c>
      <c r="C88" s="9" t="inlineStr">
        <is>
          <t>2024-07</t>
        </is>
      </c>
      <c r="D88" s="11" t="inlineStr">
        <is>
          <t>Cyberpunk 2077: Phantom Liberty</t>
        </is>
      </c>
      <c r="E88" s="11" t="inlineStr">
        <is>
          <t>Jogo</t>
        </is>
      </c>
      <c r="F88" s="9" t="inlineStr">
        <is>
          <t>Loja Física</t>
        </is>
      </c>
      <c r="G88" s="9" t="inlineStr">
        <is>
          <t>Sul</t>
        </is>
      </c>
      <c r="H88" s="12" t="n">
        <v>4</v>
      </c>
      <c r="I88" s="13" t="n">
        <v>299</v>
      </c>
      <c r="J88" s="13">
        <f>H88*I88</f>
        <v/>
      </c>
      <c r="K88" s="13" t="n">
        <v>150</v>
      </c>
      <c r="L88" s="13">
        <f>J88-(H88*K88)</f>
        <v/>
      </c>
    </row>
    <row r="89">
      <c r="A89" s="14" t="inlineStr">
        <is>
          <t>XBX-2024088</t>
        </is>
      </c>
      <c r="B89" s="15" t="n">
        <v>45347</v>
      </c>
      <c r="C89" s="14" t="inlineStr">
        <is>
          <t>2024-02</t>
        </is>
      </c>
      <c r="D89" s="16" t="inlineStr">
        <is>
          <t>Xbox Game Pass Ultimate 3 Meses</t>
        </is>
      </c>
      <c r="E89" s="16" t="inlineStr">
        <is>
          <t>Assinatura</t>
        </is>
      </c>
      <c r="F89" s="14" t="inlineStr">
        <is>
          <t>Loja Física</t>
        </is>
      </c>
      <c r="G89" s="14" t="inlineStr">
        <is>
          <t>Sul</t>
        </is>
      </c>
      <c r="H89" s="17" t="n">
        <v>1</v>
      </c>
      <c r="I89" s="18" t="n">
        <v>149</v>
      </c>
      <c r="J89" s="18">
        <f>H89*I89</f>
        <v/>
      </c>
      <c r="K89" s="18" t="n">
        <v>100</v>
      </c>
      <c r="L89" s="18">
        <f>J89-(H89*K89)</f>
        <v/>
      </c>
    </row>
    <row r="90">
      <c r="A90" s="9" t="inlineStr">
        <is>
          <t>XBX-2024089</t>
        </is>
      </c>
      <c r="B90" s="10" t="n">
        <v>45394</v>
      </c>
      <c r="C90" s="9" t="inlineStr">
        <is>
          <t>2024-04</t>
        </is>
      </c>
      <c r="D90" s="11" t="inlineStr">
        <is>
          <t>Starfield - Edição Standard</t>
        </is>
      </c>
      <c r="E90" s="11" t="inlineStr">
        <is>
          <t>Jogo</t>
        </is>
      </c>
      <c r="F90" s="9" t="inlineStr">
        <is>
          <t>Loja Física</t>
        </is>
      </c>
      <c r="G90" s="9" t="inlineStr">
        <is>
          <t>Sul</t>
        </is>
      </c>
      <c r="H90" s="12" t="n">
        <v>6</v>
      </c>
      <c r="I90" s="13" t="n">
        <v>349</v>
      </c>
      <c r="J90" s="13">
        <f>H90*I90</f>
        <v/>
      </c>
      <c r="K90" s="13" t="n">
        <v>180</v>
      </c>
      <c r="L90" s="13">
        <f>J90-(H90*K90)</f>
        <v/>
      </c>
    </row>
    <row r="91">
      <c r="A91" s="14" t="inlineStr">
        <is>
          <t>XBX-2024090</t>
        </is>
      </c>
      <c r="B91" s="15" t="n">
        <v>45406</v>
      </c>
      <c r="C91" s="14" t="inlineStr">
        <is>
          <t>2024-04</t>
        </is>
      </c>
      <c r="D91" s="16" t="inlineStr">
        <is>
          <t>Console Xbox Series X 1TB</t>
        </is>
      </c>
      <c r="E91" s="16" t="inlineStr">
        <is>
          <t>Console</t>
        </is>
      </c>
      <c r="F91" s="14" t="inlineStr">
        <is>
          <t>E-commerce</t>
        </is>
      </c>
      <c r="G91" s="14" t="inlineStr">
        <is>
          <t>Centro-Oeste</t>
        </is>
      </c>
      <c r="H91" s="17" t="n">
        <v>3</v>
      </c>
      <c r="I91" s="18" t="n">
        <v>4499</v>
      </c>
      <c r="J91" s="18">
        <f>H91*I91</f>
        <v/>
      </c>
      <c r="K91" s="18" t="n">
        <v>3800</v>
      </c>
      <c r="L91" s="18">
        <f>J91-(H91*K91)</f>
        <v/>
      </c>
    </row>
    <row r="92">
      <c r="A92" s="9" t="inlineStr">
        <is>
          <t>XBX-2024091</t>
        </is>
      </c>
      <c r="B92" s="10" t="n">
        <v>45460</v>
      </c>
      <c r="C92" s="9" t="inlineStr">
        <is>
          <t>2024-06</t>
        </is>
      </c>
      <c r="D92" s="11" t="inlineStr">
        <is>
          <t>Headset Sem Fio Xbox Stereo</t>
        </is>
      </c>
      <c r="E92" s="11" t="inlineStr">
        <is>
          <t>Acessório</t>
        </is>
      </c>
      <c r="F92" s="9" t="inlineStr">
        <is>
          <t>Loja Física</t>
        </is>
      </c>
      <c r="G92" s="9" t="inlineStr">
        <is>
          <t>Nordeste</t>
        </is>
      </c>
      <c r="H92" s="12" t="n">
        <v>1</v>
      </c>
      <c r="I92" s="13" t="n">
        <v>799</v>
      </c>
      <c r="J92" s="13">
        <f>H92*I92</f>
        <v/>
      </c>
      <c r="K92" s="13" t="n">
        <v>550</v>
      </c>
      <c r="L92" s="13">
        <f>J92-(H92*K92)</f>
        <v/>
      </c>
    </row>
    <row r="93">
      <c r="A93" s="14" t="inlineStr">
        <is>
          <t>XBX-2024092</t>
        </is>
      </c>
      <c r="B93" s="15" t="n">
        <v>45552</v>
      </c>
      <c r="C93" s="14" t="inlineStr">
        <is>
          <t>2024-09</t>
        </is>
      </c>
      <c r="D93" s="16" t="inlineStr">
        <is>
          <t>Xbox Game Pass Ultimate 3 Meses</t>
        </is>
      </c>
      <c r="E93" s="16" t="inlineStr">
        <is>
          <t>Assinatura</t>
        </is>
      </c>
      <c r="F93" s="14" t="inlineStr">
        <is>
          <t>Loja Física</t>
        </is>
      </c>
      <c r="G93" s="14" t="inlineStr">
        <is>
          <t>Sudeste</t>
        </is>
      </c>
      <c r="H93" s="17" t="n">
        <v>9</v>
      </c>
      <c r="I93" s="18" t="n">
        <v>149</v>
      </c>
      <c r="J93" s="18">
        <f>H93*I93</f>
        <v/>
      </c>
      <c r="K93" s="18" t="n">
        <v>100</v>
      </c>
      <c r="L93" s="18">
        <f>J93-(H93*K93)</f>
        <v/>
      </c>
    </row>
    <row r="94">
      <c r="A94" s="9" t="inlineStr">
        <is>
          <t>XBX-2024093</t>
        </is>
      </c>
      <c r="B94" s="10" t="n">
        <v>45351</v>
      </c>
      <c r="C94" s="9" t="inlineStr">
        <is>
          <t>2024-02</t>
        </is>
      </c>
      <c r="D94" s="11" t="inlineStr">
        <is>
          <t>Headset Sem Fio Xbox Stereo</t>
        </is>
      </c>
      <c r="E94" s="11" t="inlineStr">
        <is>
          <t>Acessório</t>
        </is>
      </c>
      <c r="F94" s="9" t="inlineStr">
        <is>
          <t>Marketplace</t>
        </is>
      </c>
      <c r="G94" s="9" t="inlineStr">
        <is>
          <t>Nordeste</t>
        </is>
      </c>
      <c r="H94" s="12" t="n">
        <v>2</v>
      </c>
      <c r="I94" s="13" t="n">
        <v>799</v>
      </c>
      <c r="J94" s="13">
        <f>H94*I94</f>
        <v/>
      </c>
      <c r="K94" s="13" t="n">
        <v>550</v>
      </c>
      <c r="L94" s="13">
        <f>J94-(H94*K94)</f>
        <v/>
      </c>
    </row>
    <row r="95">
      <c r="A95" s="14" t="inlineStr">
        <is>
          <t>XBX-2024094</t>
        </is>
      </c>
      <c r="B95" s="15" t="n">
        <v>45311</v>
      </c>
      <c r="C95" s="14" t="inlineStr">
        <is>
          <t>2024-01</t>
        </is>
      </c>
      <c r="D95" s="16" t="inlineStr">
        <is>
          <t>Console Xbox Series S 512GB</t>
        </is>
      </c>
      <c r="E95" s="16" t="inlineStr">
        <is>
          <t>Console</t>
        </is>
      </c>
      <c r="F95" s="14" t="inlineStr">
        <is>
          <t>Loja Física</t>
        </is>
      </c>
      <c r="G95" s="14" t="inlineStr">
        <is>
          <t>Nordeste</t>
        </is>
      </c>
      <c r="H95" s="17" t="n">
        <v>3</v>
      </c>
      <c r="I95" s="18" t="n">
        <v>2649</v>
      </c>
      <c r="J95" s="18">
        <f>H95*I95</f>
        <v/>
      </c>
      <c r="K95" s="18" t="n">
        <v>2100</v>
      </c>
      <c r="L95" s="18">
        <f>J95-(H95*K95)</f>
        <v/>
      </c>
    </row>
    <row r="96">
      <c r="A96" s="9" t="inlineStr">
        <is>
          <t>XBX-2024095</t>
        </is>
      </c>
      <c r="B96" s="10" t="n">
        <v>45452</v>
      </c>
      <c r="C96" s="9" t="inlineStr">
        <is>
          <t>2024-06</t>
        </is>
      </c>
      <c r="D96" s="11" t="inlineStr">
        <is>
          <t>Xbox Game Pass Ultimate 3 Meses</t>
        </is>
      </c>
      <c r="E96" s="11" t="inlineStr">
        <is>
          <t>Assinatura</t>
        </is>
      </c>
      <c r="F96" s="9" t="inlineStr">
        <is>
          <t>Marketplace</t>
        </is>
      </c>
      <c r="G96" s="9" t="inlineStr">
        <is>
          <t>Sudeste</t>
        </is>
      </c>
      <c r="H96" s="12" t="n">
        <v>10</v>
      </c>
      <c r="I96" s="13" t="n">
        <v>149</v>
      </c>
      <c r="J96" s="13">
        <f>H96*I96</f>
        <v/>
      </c>
      <c r="K96" s="13" t="n">
        <v>100</v>
      </c>
      <c r="L96" s="13">
        <f>J96-(H96*K96)</f>
        <v/>
      </c>
    </row>
    <row r="97">
      <c r="A97" s="14" t="inlineStr">
        <is>
          <t>XBX-2024096</t>
        </is>
      </c>
      <c r="B97" s="15" t="n">
        <v>45489</v>
      </c>
      <c r="C97" s="14" t="inlineStr">
        <is>
          <t>2024-07</t>
        </is>
      </c>
      <c r="D97" s="16" t="inlineStr">
        <is>
          <t>EA Sports FC 24 - Xbox Series</t>
        </is>
      </c>
      <c r="E97" s="16" t="inlineStr">
        <is>
          <t>Jogo</t>
        </is>
      </c>
      <c r="F97" s="14" t="inlineStr">
        <is>
          <t>Loja Física</t>
        </is>
      </c>
      <c r="G97" s="14" t="inlineStr">
        <is>
          <t>Sudeste</t>
        </is>
      </c>
      <c r="H97" s="17" t="n">
        <v>4</v>
      </c>
      <c r="I97" s="18" t="n">
        <v>350</v>
      </c>
      <c r="J97" s="18">
        <f>H97*I97</f>
        <v/>
      </c>
      <c r="K97" s="18" t="n">
        <v>200</v>
      </c>
      <c r="L97" s="18">
        <f>J97-(H97*K97)</f>
        <v/>
      </c>
    </row>
    <row r="98">
      <c r="A98" s="9" t="inlineStr">
        <is>
          <t>XBX-2024097</t>
        </is>
      </c>
      <c r="B98" s="10" t="n">
        <v>45515</v>
      </c>
      <c r="C98" s="9" t="inlineStr">
        <is>
          <t>2024-08</t>
        </is>
      </c>
      <c r="D98" s="11" t="inlineStr">
        <is>
          <t>Console Xbox Series X 1TB</t>
        </is>
      </c>
      <c r="E98" s="11" t="inlineStr">
        <is>
          <t>Console</t>
        </is>
      </c>
      <c r="F98" s="9" t="inlineStr">
        <is>
          <t>Marketplace</t>
        </is>
      </c>
      <c r="G98" s="9" t="inlineStr">
        <is>
          <t>Sul</t>
        </is>
      </c>
      <c r="H98" s="12" t="n">
        <v>3</v>
      </c>
      <c r="I98" s="13" t="n">
        <v>4499</v>
      </c>
      <c r="J98" s="13">
        <f>H98*I98</f>
        <v/>
      </c>
      <c r="K98" s="13" t="n">
        <v>3800</v>
      </c>
      <c r="L98" s="13">
        <f>J98-(H98*K98)</f>
        <v/>
      </c>
    </row>
    <row r="99">
      <c r="A99" s="14" t="inlineStr">
        <is>
          <t>XBX-2024098</t>
        </is>
      </c>
      <c r="B99" s="15" t="n">
        <v>45478</v>
      </c>
      <c r="C99" s="14" t="inlineStr">
        <is>
          <t>2024-07</t>
        </is>
      </c>
      <c r="D99" s="16" t="inlineStr">
        <is>
          <t>Xbox Game Pass Ultimate 3 Meses</t>
        </is>
      </c>
      <c r="E99" s="16" t="inlineStr">
        <is>
          <t>Assinatura</t>
        </is>
      </c>
      <c r="F99" s="14" t="inlineStr">
        <is>
          <t>Marketplace</t>
        </is>
      </c>
      <c r="G99" s="14" t="inlineStr">
        <is>
          <t>Nordeste</t>
        </is>
      </c>
      <c r="H99" s="17" t="n">
        <v>2</v>
      </c>
      <c r="I99" s="18" t="n">
        <v>149</v>
      </c>
      <c r="J99" s="18">
        <f>H99*I99</f>
        <v/>
      </c>
      <c r="K99" s="18" t="n">
        <v>100</v>
      </c>
      <c r="L99" s="18">
        <f>J99-(H99*K99)</f>
        <v/>
      </c>
    </row>
    <row r="100">
      <c r="A100" s="9" t="inlineStr">
        <is>
          <t>XBX-2024099</t>
        </is>
      </c>
      <c r="B100" s="10" t="n">
        <v>45452</v>
      </c>
      <c r="C100" s="9" t="inlineStr">
        <is>
          <t>2024-06</t>
        </is>
      </c>
      <c r="D100" s="11" t="inlineStr">
        <is>
          <t>Halo Infinite Campaign</t>
        </is>
      </c>
      <c r="E100" s="11" t="inlineStr">
        <is>
          <t>Jogo</t>
        </is>
      </c>
      <c r="F100" s="9" t="inlineStr">
        <is>
          <t>Marketplace</t>
        </is>
      </c>
      <c r="G100" s="9" t="inlineStr">
        <is>
          <t>Nordeste</t>
        </is>
      </c>
      <c r="H100" s="12" t="n">
        <v>2</v>
      </c>
      <c r="I100" s="13" t="n">
        <v>249</v>
      </c>
      <c r="J100" s="13">
        <f>H100*I100</f>
        <v/>
      </c>
      <c r="K100" s="13" t="n">
        <v>120</v>
      </c>
      <c r="L100" s="13">
        <f>J100-(H100*K100)</f>
        <v/>
      </c>
    </row>
    <row r="101">
      <c r="A101" s="14" t="inlineStr">
        <is>
          <t>XBX-2024100</t>
        </is>
      </c>
      <c r="B101" s="15" t="n">
        <v>45551</v>
      </c>
      <c r="C101" s="14" t="inlineStr">
        <is>
          <t>2024-09</t>
        </is>
      </c>
      <c r="D101" s="16" t="inlineStr">
        <is>
          <t>Headset Sem Fio Xbox Stereo</t>
        </is>
      </c>
      <c r="E101" s="16" t="inlineStr">
        <is>
          <t>Acessório</t>
        </is>
      </c>
      <c r="F101" s="14" t="inlineStr">
        <is>
          <t>Loja Física</t>
        </is>
      </c>
      <c r="G101" s="14" t="inlineStr">
        <is>
          <t>Centro-Oeste</t>
        </is>
      </c>
      <c r="H101" s="17" t="n">
        <v>4</v>
      </c>
      <c r="I101" s="18" t="n">
        <v>799</v>
      </c>
      <c r="J101" s="18">
        <f>H101*I101</f>
        <v/>
      </c>
      <c r="K101" s="18" t="n">
        <v>550</v>
      </c>
      <c r="L101" s="18">
        <f>J101-(H101*K101)</f>
        <v/>
      </c>
    </row>
    <row r="102">
      <c r="A102" s="9" t="inlineStr">
        <is>
          <t>XBX-2024101</t>
        </is>
      </c>
      <c r="B102" s="10" t="n">
        <v>45443</v>
      </c>
      <c r="C102" s="9" t="inlineStr">
        <is>
          <t>2024-05</t>
        </is>
      </c>
      <c r="D102" s="11" t="inlineStr">
        <is>
          <t>Forza Horizon 5 Premium</t>
        </is>
      </c>
      <c r="E102" s="11" t="inlineStr">
        <is>
          <t>Jogo</t>
        </is>
      </c>
      <c r="F102" s="9" t="inlineStr">
        <is>
          <t>E-commerce</t>
        </is>
      </c>
      <c r="G102" s="9" t="inlineStr">
        <is>
          <t>Centro-Oeste</t>
        </is>
      </c>
      <c r="H102" s="12" t="n">
        <v>3</v>
      </c>
      <c r="I102" s="13" t="n">
        <v>399</v>
      </c>
      <c r="J102" s="13">
        <f>H102*I102</f>
        <v/>
      </c>
      <c r="K102" s="13" t="n">
        <v>220</v>
      </c>
      <c r="L102" s="13">
        <f>J102-(H102*K102)</f>
        <v/>
      </c>
    </row>
    <row r="103">
      <c r="A103" s="14" t="inlineStr">
        <is>
          <t>XBX-2024102</t>
        </is>
      </c>
      <c r="B103" s="15" t="n">
        <v>45486</v>
      </c>
      <c r="C103" s="14" t="inlineStr">
        <is>
          <t>2024-07</t>
        </is>
      </c>
      <c r="D103" s="16" t="inlineStr">
        <is>
          <t>Halo Infinite Campaign</t>
        </is>
      </c>
      <c r="E103" s="16" t="inlineStr">
        <is>
          <t>Jogo</t>
        </is>
      </c>
      <c r="F103" s="14" t="inlineStr">
        <is>
          <t>Marketplace</t>
        </is>
      </c>
      <c r="G103" s="14" t="inlineStr">
        <is>
          <t>Norte</t>
        </is>
      </c>
      <c r="H103" s="17" t="n">
        <v>3</v>
      </c>
      <c r="I103" s="18" t="n">
        <v>249</v>
      </c>
      <c r="J103" s="18">
        <f>H103*I103</f>
        <v/>
      </c>
      <c r="K103" s="18" t="n">
        <v>120</v>
      </c>
      <c r="L103" s="18">
        <f>J103-(H103*K103)</f>
        <v/>
      </c>
    </row>
    <row r="104">
      <c r="A104" s="9" t="inlineStr">
        <is>
          <t>XBX-2024103</t>
        </is>
      </c>
      <c r="B104" s="10" t="n">
        <v>45446</v>
      </c>
      <c r="C104" s="9" t="inlineStr">
        <is>
          <t>2024-06</t>
        </is>
      </c>
      <c r="D104" s="11" t="inlineStr">
        <is>
          <t>Xbox Game Pass Ultimate 3 Meses</t>
        </is>
      </c>
      <c r="E104" s="11" t="inlineStr">
        <is>
          <t>Assinatura</t>
        </is>
      </c>
      <c r="F104" s="9" t="inlineStr">
        <is>
          <t>E-commerce</t>
        </is>
      </c>
      <c r="G104" s="9" t="inlineStr">
        <is>
          <t>Nordeste</t>
        </is>
      </c>
      <c r="H104" s="12" t="n">
        <v>9</v>
      </c>
      <c r="I104" s="13" t="n">
        <v>149</v>
      </c>
      <c r="J104" s="13">
        <f>H104*I104</f>
        <v/>
      </c>
      <c r="K104" s="13" t="n">
        <v>100</v>
      </c>
      <c r="L104" s="13">
        <f>J104-(H104*K104)</f>
        <v/>
      </c>
    </row>
    <row r="105">
      <c r="A105" s="14" t="inlineStr">
        <is>
          <t>XBX-2024104</t>
        </is>
      </c>
      <c r="B105" s="15" t="n">
        <v>45438</v>
      </c>
      <c r="C105" s="14" t="inlineStr">
        <is>
          <t>2024-05</t>
        </is>
      </c>
      <c r="D105" s="16" t="inlineStr">
        <is>
          <t>Controle Sem Fio Xbox - Robot White</t>
        </is>
      </c>
      <c r="E105" s="16" t="inlineStr">
        <is>
          <t>Acessório</t>
        </is>
      </c>
      <c r="F105" s="14" t="inlineStr">
        <is>
          <t>Marketplace</t>
        </is>
      </c>
      <c r="G105" s="14" t="inlineStr">
        <is>
          <t>Norte</t>
        </is>
      </c>
      <c r="H105" s="17" t="n">
        <v>4</v>
      </c>
      <c r="I105" s="18" t="n">
        <v>499</v>
      </c>
      <c r="J105" s="18">
        <f>H105*I105</f>
        <v/>
      </c>
      <c r="K105" s="18" t="n">
        <v>320</v>
      </c>
      <c r="L105" s="18">
        <f>J105-(H105*K105)</f>
        <v/>
      </c>
    </row>
    <row r="106">
      <c r="A106" s="9" t="inlineStr">
        <is>
          <t>XBX-2024105</t>
        </is>
      </c>
      <c r="B106" s="10" t="n">
        <v>45456</v>
      </c>
      <c r="C106" s="9" t="inlineStr">
        <is>
          <t>2024-06</t>
        </is>
      </c>
      <c r="D106" s="11" t="inlineStr">
        <is>
          <t>Starfield - Edição Standard</t>
        </is>
      </c>
      <c r="E106" s="11" t="inlineStr">
        <is>
          <t>Jogo</t>
        </is>
      </c>
      <c r="F106" s="9" t="inlineStr">
        <is>
          <t>Loja Física</t>
        </is>
      </c>
      <c r="G106" s="9" t="inlineStr">
        <is>
          <t>Sul</t>
        </is>
      </c>
      <c r="H106" s="12" t="n">
        <v>8</v>
      </c>
      <c r="I106" s="13" t="n">
        <v>349</v>
      </c>
      <c r="J106" s="13">
        <f>H106*I106</f>
        <v/>
      </c>
      <c r="K106" s="13" t="n">
        <v>180</v>
      </c>
      <c r="L106" s="13">
        <f>J106-(H106*K106)</f>
        <v/>
      </c>
    </row>
    <row r="107">
      <c r="A107" s="14" t="inlineStr">
        <is>
          <t>XBX-2024106</t>
        </is>
      </c>
      <c r="B107" s="15" t="n">
        <v>45553</v>
      </c>
      <c r="C107" s="14" t="inlineStr">
        <is>
          <t>2024-09</t>
        </is>
      </c>
      <c r="D107" s="16" t="inlineStr">
        <is>
          <t>Starfield - Edição Standard</t>
        </is>
      </c>
      <c r="E107" s="16" t="inlineStr">
        <is>
          <t>Jogo</t>
        </is>
      </c>
      <c r="F107" s="14" t="inlineStr">
        <is>
          <t>Marketplace</t>
        </is>
      </c>
      <c r="G107" s="14" t="inlineStr">
        <is>
          <t>Sudeste</t>
        </is>
      </c>
      <c r="H107" s="17" t="n">
        <v>3</v>
      </c>
      <c r="I107" s="18" t="n">
        <v>349</v>
      </c>
      <c r="J107" s="18">
        <f>H107*I107</f>
        <v/>
      </c>
      <c r="K107" s="18" t="n">
        <v>180</v>
      </c>
      <c r="L107" s="18">
        <f>J107-(H107*K107)</f>
        <v/>
      </c>
    </row>
    <row r="108">
      <c r="A108" s="9" t="inlineStr">
        <is>
          <t>XBX-2024107</t>
        </is>
      </c>
      <c r="B108" s="10" t="n">
        <v>45437</v>
      </c>
      <c r="C108" s="9" t="inlineStr">
        <is>
          <t>2024-05</t>
        </is>
      </c>
      <c r="D108" s="11" t="inlineStr">
        <is>
          <t>Forza Horizon 5 Premium</t>
        </is>
      </c>
      <c r="E108" s="11" t="inlineStr">
        <is>
          <t>Jogo</t>
        </is>
      </c>
      <c r="F108" s="9" t="inlineStr">
        <is>
          <t>E-commerce</t>
        </is>
      </c>
      <c r="G108" s="9" t="inlineStr">
        <is>
          <t>Sul</t>
        </is>
      </c>
      <c r="H108" s="12" t="n">
        <v>6</v>
      </c>
      <c r="I108" s="13" t="n">
        <v>399</v>
      </c>
      <c r="J108" s="13">
        <f>H108*I108</f>
        <v/>
      </c>
      <c r="K108" s="13" t="n">
        <v>220</v>
      </c>
      <c r="L108" s="13">
        <f>J108-(H108*K108)</f>
        <v/>
      </c>
    </row>
    <row r="109">
      <c r="A109" s="14" t="inlineStr">
        <is>
          <t>XBX-2024108</t>
        </is>
      </c>
      <c r="B109" s="15" t="n">
        <v>45450</v>
      </c>
      <c r="C109" s="14" t="inlineStr">
        <is>
          <t>2024-06</t>
        </is>
      </c>
      <c r="D109" s="16" t="inlineStr">
        <is>
          <t>Controle Sem Fio Xbox - Robot White</t>
        </is>
      </c>
      <c r="E109" s="16" t="inlineStr">
        <is>
          <t>Acessório</t>
        </is>
      </c>
      <c r="F109" s="14" t="inlineStr">
        <is>
          <t>E-commerce</t>
        </is>
      </c>
      <c r="G109" s="14" t="inlineStr">
        <is>
          <t>Sudeste</t>
        </is>
      </c>
      <c r="H109" s="17" t="n">
        <v>2</v>
      </c>
      <c r="I109" s="18" t="n">
        <v>499</v>
      </c>
      <c r="J109" s="18">
        <f>H109*I109</f>
        <v/>
      </c>
      <c r="K109" s="18" t="n">
        <v>320</v>
      </c>
      <c r="L109" s="18">
        <f>J109-(H109*K109)</f>
        <v/>
      </c>
    </row>
    <row r="110">
      <c r="A110" s="9" t="inlineStr">
        <is>
          <t>XBX-2024109</t>
        </is>
      </c>
      <c r="B110" s="10" t="n">
        <v>45315</v>
      </c>
      <c r="C110" s="9" t="inlineStr">
        <is>
          <t>2024-01</t>
        </is>
      </c>
      <c r="D110" s="11" t="inlineStr">
        <is>
          <t>Controle Sem Fio Xbox - Robot White</t>
        </is>
      </c>
      <c r="E110" s="11" t="inlineStr">
        <is>
          <t>Acessório</t>
        </is>
      </c>
      <c r="F110" s="9" t="inlineStr">
        <is>
          <t>Marketplace</t>
        </is>
      </c>
      <c r="G110" s="9" t="inlineStr">
        <is>
          <t>Sudeste</t>
        </is>
      </c>
      <c r="H110" s="12" t="n">
        <v>4</v>
      </c>
      <c r="I110" s="13" t="n">
        <v>499</v>
      </c>
      <c r="J110" s="13">
        <f>H110*I110</f>
        <v/>
      </c>
      <c r="K110" s="13" t="n">
        <v>320</v>
      </c>
      <c r="L110" s="13">
        <f>J110-(H110*K110)</f>
        <v/>
      </c>
    </row>
    <row r="111">
      <c r="A111" s="14" t="inlineStr">
        <is>
          <t>XBX-2024110</t>
        </is>
      </c>
      <c r="B111" s="15" t="n">
        <v>45525</v>
      </c>
      <c r="C111" s="14" t="inlineStr">
        <is>
          <t>2024-08</t>
        </is>
      </c>
      <c r="D111" s="16" t="inlineStr">
        <is>
          <t>Xbox Game Pass Ultimate 3 Meses</t>
        </is>
      </c>
      <c r="E111" s="16" t="inlineStr">
        <is>
          <t>Assinatura</t>
        </is>
      </c>
      <c r="F111" s="14" t="inlineStr">
        <is>
          <t>E-commerce</t>
        </is>
      </c>
      <c r="G111" s="14" t="inlineStr">
        <is>
          <t>Centro-Oeste</t>
        </is>
      </c>
      <c r="H111" s="17" t="n">
        <v>10</v>
      </c>
      <c r="I111" s="18" t="n">
        <v>149</v>
      </c>
      <c r="J111" s="18">
        <f>H111*I111</f>
        <v/>
      </c>
      <c r="K111" s="18" t="n">
        <v>100</v>
      </c>
      <c r="L111" s="18">
        <f>J111-(H111*K111)</f>
        <v/>
      </c>
    </row>
    <row r="112">
      <c r="A112" s="9" t="inlineStr">
        <is>
          <t>XBX-2024111</t>
        </is>
      </c>
      <c r="B112" s="10" t="n">
        <v>45545</v>
      </c>
      <c r="C112" s="9" t="inlineStr">
        <is>
          <t>2024-09</t>
        </is>
      </c>
      <c r="D112" s="11" t="inlineStr">
        <is>
          <t>Xbox Game Pass Ultimate 3 Meses</t>
        </is>
      </c>
      <c r="E112" s="11" t="inlineStr">
        <is>
          <t>Assinatura</t>
        </is>
      </c>
      <c r="F112" s="9" t="inlineStr">
        <is>
          <t>E-commerce</t>
        </is>
      </c>
      <c r="G112" s="9" t="inlineStr">
        <is>
          <t>Sudeste</t>
        </is>
      </c>
      <c r="H112" s="12" t="n">
        <v>4</v>
      </c>
      <c r="I112" s="13" t="n">
        <v>149</v>
      </c>
      <c r="J112" s="13">
        <f>H112*I112</f>
        <v/>
      </c>
      <c r="K112" s="13" t="n">
        <v>100</v>
      </c>
      <c r="L112" s="13">
        <f>J112-(H112*K112)</f>
        <v/>
      </c>
    </row>
    <row r="113">
      <c r="A113" s="14" t="inlineStr">
        <is>
          <t>XBX-2024112</t>
        </is>
      </c>
      <c r="B113" s="15" t="n">
        <v>45346</v>
      </c>
      <c r="C113" s="14" t="inlineStr">
        <is>
          <t>2024-02</t>
        </is>
      </c>
      <c r="D113" s="16" t="inlineStr">
        <is>
          <t>Cyberpunk 2077: Phantom Liberty</t>
        </is>
      </c>
      <c r="E113" s="16" t="inlineStr">
        <is>
          <t>Jogo</t>
        </is>
      </c>
      <c r="F113" s="14" t="inlineStr">
        <is>
          <t>E-commerce</t>
        </is>
      </c>
      <c r="G113" s="14" t="inlineStr">
        <is>
          <t>Sul</t>
        </is>
      </c>
      <c r="H113" s="17" t="n">
        <v>7</v>
      </c>
      <c r="I113" s="18" t="n">
        <v>299</v>
      </c>
      <c r="J113" s="18">
        <f>H113*I113</f>
        <v/>
      </c>
      <c r="K113" s="18" t="n">
        <v>150</v>
      </c>
      <c r="L113" s="18">
        <f>J113-(H113*K113)</f>
        <v/>
      </c>
    </row>
    <row r="114">
      <c r="A114" s="9" t="inlineStr">
        <is>
          <t>XBX-2024113</t>
        </is>
      </c>
      <c r="B114" s="10" t="n">
        <v>45557</v>
      </c>
      <c r="C114" s="9" t="inlineStr">
        <is>
          <t>2024-09</t>
        </is>
      </c>
      <c r="D114" s="11" t="inlineStr">
        <is>
          <t>Starfield - Edição Standard</t>
        </is>
      </c>
      <c r="E114" s="11" t="inlineStr">
        <is>
          <t>Jogo</t>
        </is>
      </c>
      <c r="F114" s="9" t="inlineStr">
        <is>
          <t>Marketplace</t>
        </is>
      </c>
      <c r="G114" s="9" t="inlineStr">
        <is>
          <t>Sul</t>
        </is>
      </c>
      <c r="H114" s="12" t="n">
        <v>1</v>
      </c>
      <c r="I114" s="13" t="n">
        <v>349</v>
      </c>
      <c r="J114" s="13">
        <f>H114*I114</f>
        <v/>
      </c>
      <c r="K114" s="13" t="n">
        <v>180</v>
      </c>
      <c r="L114" s="13">
        <f>J114-(H114*K114)</f>
        <v/>
      </c>
    </row>
    <row r="115">
      <c r="A115" s="14" t="inlineStr">
        <is>
          <t>XBX-2024114</t>
        </is>
      </c>
      <c r="B115" s="15" t="n">
        <v>45354</v>
      </c>
      <c r="C115" s="14" t="inlineStr">
        <is>
          <t>2024-03</t>
        </is>
      </c>
      <c r="D115" s="16" t="inlineStr">
        <is>
          <t>Starfield - Edição Standard</t>
        </is>
      </c>
      <c r="E115" s="16" t="inlineStr">
        <is>
          <t>Jogo</t>
        </is>
      </c>
      <c r="F115" s="14" t="inlineStr">
        <is>
          <t>Loja Física</t>
        </is>
      </c>
      <c r="G115" s="14" t="inlineStr">
        <is>
          <t>Norte</t>
        </is>
      </c>
      <c r="H115" s="17" t="n">
        <v>3</v>
      </c>
      <c r="I115" s="18" t="n">
        <v>349</v>
      </c>
      <c r="J115" s="18">
        <f>H115*I115</f>
        <v/>
      </c>
      <c r="K115" s="18" t="n">
        <v>180</v>
      </c>
      <c r="L115" s="18">
        <f>J115-(H115*K115)</f>
        <v/>
      </c>
    </row>
    <row r="116">
      <c r="A116" s="9" t="inlineStr">
        <is>
          <t>XBX-2024115</t>
        </is>
      </c>
      <c r="B116" s="10" t="n">
        <v>45454</v>
      </c>
      <c r="C116" s="9" t="inlineStr">
        <is>
          <t>2024-06</t>
        </is>
      </c>
      <c r="D116" s="11" t="inlineStr">
        <is>
          <t>Cyberpunk 2077: Phantom Liberty</t>
        </is>
      </c>
      <c r="E116" s="11" t="inlineStr">
        <is>
          <t>Jogo</t>
        </is>
      </c>
      <c r="F116" s="9" t="inlineStr">
        <is>
          <t>Marketplace</t>
        </is>
      </c>
      <c r="G116" s="9" t="inlineStr">
        <is>
          <t>Norte</t>
        </is>
      </c>
      <c r="H116" s="12" t="n">
        <v>8</v>
      </c>
      <c r="I116" s="13" t="n">
        <v>299</v>
      </c>
      <c r="J116" s="13">
        <f>H116*I116</f>
        <v/>
      </c>
      <c r="K116" s="13" t="n">
        <v>150</v>
      </c>
      <c r="L116" s="13">
        <f>J116-(H116*K116)</f>
        <v/>
      </c>
    </row>
    <row r="117">
      <c r="A117" s="14" t="inlineStr">
        <is>
          <t>XBX-2024116</t>
        </is>
      </c>
      <c r="B117" s="15" t="n">
        <v>45510</v>
      </c>
      <c r="C117" s="14" t="inlineStr">
        <is>
          <t>2024-08</t>
        </is>
      </c>
      <c r="D117" s="16" t="inlineStr">
        <is>
          <t>Forza Horizon 5 Premium</t>
        </is>
      </c>
      <c r="E117" s="16" t="inlineStr">
        <is>
          <t>Jogo</t>
        </is>
      </c>
      <c r="F117" s="14" t="inlineStr">
        <is>
          <t>E-commerce</t>
        </is>
      </c>
      <c r="G117" s="14" t="inlineStr">
        <is>
          <t>Centro-Oeste</t>
        </is>
      </c>
      <c r="H117" s="17" t="n">
        <v>8</v>
      </c>
      <c r="I117" s="18" t="n">
        <v>399</v>
      </c>
      <c r="J117" s="18">
        <f>H117*I117</f>
        <v/>
      </c>
      <c r="K117" s="18" t="n">
        <v>220</v>
      </c>
      <c r="L117" s="18">
        <f>J117-(H117*K117)</f>
        <v/>
      </c>
    </row>
    <row r="118">
      <c r="A118" s="9" t="inlineStr">
        <is>
          <t>XBX-2024117</t>
        </is>
      </c>
      <c r="B118" s="10" t="n">
        <v>45522</v>
      </c>
      <c r="C118" s="9" t="inlineStr">
        <is>
          <t>2024-08</t>
        </is>
      </c>
      <c r="D118" s="11" t="inlineStr">
        <is>
          <t>Headset Sem Fio Xbox Stereo</t>
        </is>
      </c>
      <c r="E118" s="11" t="inlineStr">
        <is>
          <t>Acessório</t>
        </is>
      </c>
      <c r="F118" s="9" t="inlineStr">
        <is>
          <t>Marketplace</t>
        </is>
      </c>
      <c r="G118" s="9" t="inlineStr">
        <is>
          <t>Nordeste</t>
        </is>
      </c>
      <c r="H118" s="12" t="n">
        <v>2</v>
      </c>
      <c r="I118" s="13" t="n">
        <v>799</v>
      </c>
      <c r="J118" s="13">
        <f>H118*I118</f>
        <v/>
      </c>
      <c r="K118" s="13" t="n">
        <v>550</v>
      </c>
      <c r="L118" s="13">
        <f>J118-(H118*K118)</f>
        <v/>
      </c>
    </row>
    <row r="119">
      <c r="A119" s="14" t="inlineStr">
        <is>
          <t>XBX-2024118</t>
        </is>
      </c>
      <c r="B119" s="15" t="n">
        <v>45558</v>
      </c>
      <c r="C119" s="14" t="inlineStr">
        <is>
          <t>2024-09</t>
        </is>
      </c>
      <c r="D119" s="16" t="inlineStr">
        <is>
          <t>Starfield - Edição Standard</t>
        </is>
      </c>
      <c r="E119" s="16" t="inlineStr">
        <is>
          <t>Jogo</t>
        </is>
      </c>
      <c r="F119" s="14" t="inlineStr">
        <is>
          <t>Loja Física</t>
        </is>
      </c>
      <c r="G119" s="14" t="inlineStr">
        <is>
          <t>Centro-Oeste</t>
        </is>
      </c>
      <c r="H119" s="17" t="n">
        <v>4</v>
      </c>
      <c r="I119" s="18" t="n">
        <v>349</v>
      </c>
      <c r="J119" s="18">
        <f>H119*I119</f>
        <v/>
      </c>
      <c r="K119" s="18" t="n">
        <v>180</v>
      </c>
      <c r="L119" s="18">
        <f>J119-(H119*K119)</f>
        <v/>
      </c>
    </row>
    <row r="120">
      <c r="A120" s="9" t="inlineStr">
        <is>
          <t>XBX-2024119</t>
        </is>
      </c>
      <c r="B120" s="10" t="n">
        <v>45331</v>
      </c>
      <c r="C120" s="9" t="inlineStr">
        <is>
          <t>2024-02</t>
        </is>
      </c>
      <c r="D120" s="11" t="inlineStr">
        <is>
          <t>Minecraft - Xbox Edition</t>
        </is>
      </c>
      <c r="E120" s="11" t="inlineStr">
        <is>
          <t>Jogo</t>
        </is>
      </c>
      <c r="F120" s="9" t="inlineStr">
        <is>
          <t>E-commerce</t>
        </is>
      </c>
      <c r="G120" s="9" t="inlineStr">
        <is>
          <t>Nordeste</t>
        </is>
      </c>
      <c r="H120" s="12" t="n">
        <v>5</v>
      </c>
      <c r="I120" s="13" t="n">
        <v>149</v>
      </c>
      <c r="J120" s="13">
        <f>H120*I120</f>
        <v/>
      </c>
      <c r="K120" s="13" t="n">
        <v>60</v>
      </c>
      <c r="L120" s="13">
        <f>J120-(H120*K120)</f>
        <v/>
      </c>
    </row>
    <row r="121">
      <c r="A121" s="14" t="inlineStr">
        <is>
          <t>XBX-2024120</t>
        </is>
      </c>
      <c r="B121" s="15" t="n">
        <v>45463</v>
      </c>
      <c r="C121" s="14" t="inlineStr">
        <is>
          <t>2024-06</t>
        </is>
      </c>
      <c r="D121" s="16" t="inlineStr">
        <is>
          <t>Xbox Game Pass Ultimate 12 Meses</t>
        </is>
      </c>
      <c r="E121" s="16" t="inlineStr">
        <is>
          <t>Assinatura</t>
        </is>
      </c>
      <c r="F121" s="14" t="inlineStr">
        <is>
          <t>E-commerce</t>
        </is>
      </c>
      <c r="G121" s="14" t="inlineStr">
        <is>
          <t>Sul</t>
        </is>
      </c>
      <c r="H121" s="17" t="n">
        <v>9</v>
      </c>
      <c r="I121" s="18" t="n">
        <v>599</v>
      </c>
      <c r="J121" s="18">
        <f>H121*I121</f>
        <v/>
      </c>
      <c r="K121" s="18" t="n">
        <v>400</v>
      </c>
      <c r="L121" s="18">
        <f>J121-(H121*K121)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1" workbookViewId="0">
      <selection activeCell="A1" sqref="A1"/>
    </sheetView>
  </sheetViews>
  <sheetFormatPr baseColWidth="8" defaultRowHeight="15"/>
  <sheetData>
    <row r="1">
      <c r="A1" s="19" t="inlineStr">
        <is>
          <t>RESUMO GERAL KPIs</t>
        </is>
      </c>
      <c r="E1" s="19" t="inlineStr">
        <is>
          <t>EVOLUÇÃO MENSAL</t>
        </is>
      </c>
    </row>
    <row r="2">
      <c r="A2" t="inlineStr">
        <is>
          <t>Métrica</t>
        </is>
      </c>
      <c r="B2" t="inlineStr">
        <is>
          <t>Valor</t>
        </is>
      </c>
      <c r="E2" t="inlineStr">
        <is>
          <t>Mês</t>
        </is>
      </c>
      <c r="F2" t="inlineStr">
        <is>
          <t>Faturamento (R$)</t>
        </is>
      </c>
    </row>
    <row r="3">
      <c r="A3" t="inlineStr">
        <is>
          <t>Faturamento Total</t>
        </is>
      </c>
      <c r="B3" s="20">
        <f>SUM(Base_de_Dados!J2:J121)</f>
        <v/>
      </c>
      <c r="E3" t="inlineStr">
        <is>
          <t>2024-01</t>
        </is>
      </c>
      <c r="F3" s="20">
        <f>SUMIF(Base_de_Dados!C$2:C$121, E3, Base_de_Dados!J$2:J$121)</f>
        <v/>
      </c>
    </row>
    <row r="4">
      <c r="A4" t="inlineStr">
        <is>
          <t>Total Unidades Vendidas</t>
        </is>
      </c>
      <c r="B4" s="21">
        <f>SUM(Base_de_Dados!H2:H121)</f>
        <v/>
      </c>
      <c r="E4" t="inlineStr">
        <is>
          <t>2024-02</t>
        </is>
      </c>
      <c r="F4" s="20">
        <f>SUMIF(Base_de_Dados!C$2:C$121, E4, Base_de_Dados!J$2:J$121)</f>
        <v/>
      </c>
    </row>
    <row r="5">
      <c r="A5" t="inlineStr">
        <is>
          <t>Ticket Médio Por Venda</t>
        </is>
      </c>
      <c r="B5" s="20">
        <f>AVERAGE(Base_de_Dados!J2:J121)</f>
        <v/>
      </c>
      <c r="E5" t="inlineStr">
        <is>
          <t>2024-03</t>
        </is>
      </c>
      <c r="F5" s="20">
        <f>SUMIF(Base_de_Dados!C$2:C$121, E5, Base_de_Dados!J$2:J$121)</f>
        <v/>
      </c>
    </row>
    <row r="6">
      <c r="A6" t="inlineStr">
        <is>
          <t>Lucro Total</t>
        </is>
      </c>
      <c r="B6" s="20">
        <f>SUM(Base_de_Dados!L2:L121)</f>
        <v/>
      </c>
      <c r="E6" t="inlineStr">
        <is>
          <t>2024-04</t>
        </is>
      </c>
      <c r="F6" s="20">
        <f>SUMIF(Base_de_Dados!C$2:C$121, E6, Base_de_Dados!J$2:J$121)</f>
        <v/>
      </c>
    </row>
    <row r="7">
      <c r="A7" t="inlineStr">
        <is>
          <t>Total de Pedidos</t>
        </is>
      </c>
      <c r="B7" s="21">
        <f>COUNTA(Base_de_Dados!A2:A121)</f>
        <v/>
      </c>
      <c r="E7" t="inlineStr">
        <is>
          <t>2024-05</t>
        </is>
      </c>
      <c r="F7" s="20">
        <f>SUMIF(Base_de_Dados!C$2:C$121, E7, Base_de_Dados!J$2:J$121)</f>
        <v/>
      </c>
    </row>
    <row r="8">
      <c r="E8" t="inlineStr">
        <is>
          <t>2024-06</t>
        </is>
      </c>
      <c r="F8" s="20">
        <f>SUMIF(Base_de_Dados!C$2:C$121, E8, Base_de_Dados!J$2:J$121)</f>
        <v/>
      </c>
    </row>
    <row r="9">
      <c r="E9" t="inlineStr">
        <is>
          <t>2024-07</t>
        </is>
      </c>
      <c r="F9" s="20">
        <f>SUMIF(Base_de_Dados!C$2:C$121, E9, Base_de_Dados!J$2:J$121)</f>
        <v/>
      </c>
    </row>
    <row r="10">
      <c r="A10" s="19" t="inlineStr">
        <is>
          <t>VENDAS POR CATEGORIA</t>
        </is>
      </c>
      <c r="E10" t="inlineStr">
        <is>
          <t>2024-08</t>
        </is>
      </c>
      <c r="F10" s="20">
        <f>SUMIF(Base_de_Dados!C$2:C$121, E10, Base_de_Dados!J$2:J$121)</f>
        <v/>
      </c>
    </row>
    <row r="11">
      <c r="A11" t="inlineStr">
        <is>
          <t>Categoria</t>
        </is>
      </c>
      <c r="B11" t="inlineStr">
        <is>
          <t>Faturamento (R$)</t>
        </is>
      </c>
      <c r="C11" t="inlineStr">
        <is>
          <t>Qtd Vendida</t>
        </is>
      </c>
      <c r="E11" t="inlineStr">
        <is>
          <t>2024-09</t>
        </is>
      </c>
      <c r="F11" s="20">
        <f>SUMIF(Base_de_Dados!C$2:C$121, E11, Base_de_Dados!J$2:J$121)</f>
        <v/>
      </c>
    </row>
    <row r="12">
      <c r="A12" t="inlineStr">
        <is>
          <t>Console</t>
        </is>
      </c>
      <c r="B12" s="20">
        <f>SUMIF(Base_de_Dados!E$2:E$121, A12, Base_de_Dados!J$2:J$121)</f>
        <v/>
      </c>
      <c r="C12" s="21">
        <f>SUMIF(Base_de_Dados!E$2:E$121, A12, Base_de_Dados!H$2:H$121)</f>
        <v/>
      </c>
      <c r="E12" t="inlineStr">
        <is>
          <t>2024-10</t>
        </is>
      </c>
      <c r="F12" s="20">
        <f>SUMIF(Base_de_Dados!C$2:C$121, E12, Base_de_Dados!J$2:J$121)</f>
        <v/>
      </c>
    </row>
    <row r="13">
      <c r="A13" t="inlineStr">
        <is>
          <t>Acessório</t>
        </is>
      </c>
      <c r="B13" s="20">
        <f>SUMIF(Base_de_Dados!E$2:E$121, A13, Base_de_Dados!J$2:J$121)</f>
        <v/>
      </c>
      <c r="C13" s="21">
        <f>SUMIF(Base_de_Dados!E$2:E$121, A13, Base_de_Dados!H$2:H$121)</f>
        <v/>
      </c>
    </row>
    <row r="14">
      <c r="A14" t="inlineStr">
        <is>
          <t>Jogo</t>
        </is>
      </c>
      <c r="B14" s="20">
        <f>SUMIF(Base_de_Dados!E$2:E$121, A14, Base_de_Dados!J$2:J$121)</f>
        <v/>
      </c>
      <c r="C14" s="21">
        <f>SUMIF(Base_de_Dados!E$2:E$121, A14, Base_de_Dados!H$2:H$121)</f>
        <v/>
      </c>
    </row>
    <row r="15">
      <c r="A15" t="inlineStr">
        <is>
          <t>Assinatura</t>
        </is>
      </c>
      <c r="B15" s="20">
        <f>SUMIF(Base_de_Dados!E$2:E$121, A15, Base_de_Dados!J$2:J$121)</f>
        <v/>
      </c>
      <c r="C15" s="21">
        <f>SUMIF(Base_de_Dados!E$2:E$121, A15, Base_de_Dados!H$2:H$121)</f>
        <v/>
      </c>
      <c r="E15" s="19" t="inlineStr">
        <is>
          <t>TOP PRODUTOS</t>
        </is>
      </c>
    </row>
    <row r="16">
      <c r="E16" t="inlineStr">
        <is>
          <t>Produto</t>
        </is>
      </c>
      <c r="F16" t="inlineStr">
        <is>
          <t>Faturamento (R$)</t>
        </is>
      </c>
    </row>
    <row r="17">
      <c r="E17" t="inlineStr">
        <is>
          <t>Console Xbox Series X 1TB</t>
        </is>
      </c>
      <c r="F17" s="20">
        <f>SUMIF(Base_de_Dados!D$2:D$121, E17, Base_de_Dados!J$2:J$121)</f>
        <v/>
      </c>
    </row>
    <row r="18">
      <c r="A18" s="19" t="inlineStr">
        <is>
          <t>VENDAS POR CANAL</t>
        </is>
      </c>
      <c r="E18" t="inlineStr">
        <is>
          <t>Console Xbox Series S 512GB</t>
        </is>
      </c>
      <c r="F18" s="20">
        <f>SUMIF(Base_de_Dados!D$2:D$121, E18, Base_de_Dados!J$2:J$121)</f>
        <v/>
      </c>
    </row>
    <row r="19">
      <c r="A19" t="inlineStr">
        <is>
          <t>Canal</t>
        </is>
      </c>
      <c r="B19" t="inlineStr">
        <is>
          <t>Faturamento (R$)</t>
        </is>
      </c>
      <c r="E19" t="inlineStr">
        <is>
          <t>Controle Sem Fio Xbox - Carbon Black</t>
        </is>
      </c>
      <c r="F19" s="20">
        <f>SUMIF(Base_de_Dados!D$2:D$121, E19, Base_de_Dados!J$2:J$121)</f>
        <v/>
      </c>
    </row>
    <row r="20">
      <c r="A20" t="inlineStr">
        <is>
          <t>E-commerce</t>
        </is>
      </c>
      <c r="B20" s="20">
        <f>SUMIF(Base_de_Dados!F$2:F$121, A20, Base_de_Dados!J$2:J$121)</f>
        <v/>
      </c>
      <c r="E20" t="inlineStr">
        <is>
          <t>Controle Sem Fio Xbox - Robot White</t>
        </is>
      </c>
      <c r="F20" s="20">
        <f>SUMIF(Base_de_Dados!D$2:D$121, E20, Base_de_Dados!J$2:J$121)</f>
        <v/>
      </c>
    </row>
    <row r="21">
      <c r="A21" t="inlineStr">
        <is>
          <t>Loja Física</t>
        </is>
      </c>
      <c r="B21" s="20">
        <f>SUMIF(Base_de_Dados!F$2:F$121, A21, Base_de_Dados!J$2:J$121)</f>
        <v/>
      </c>
      <c r="E21" t="inlineStr">
        <is>
          <t>Headset Sem Fio Xbox Stereo</t>
        </is>
      </c>
      <c r="F21" s="20">
        <f>SUMIF(Base_de_Dados!D$2:D$121, E21, Base_de_Dados!J$2:J$121)</f>
        <v/>
      </c>
    </row>
    <row r="22">
      <c r="A22" t="inlineStr">
        <is>
          <t>Marketplace</t>
        </is>
      </c>
      <c r="B22" s="20">
        <f>SUMIF(Base_de_Dados!F$2:F$121, A22, Base_de_Dados!J$2:J$121)</f>
        <v/>
      </c>
      <c r="E22" t="inlineStr">
        <is>
          <t>Xbox Game Pass Ultimate 12 Meses</t>
        </is>
      </c>
      <c r="F22" s="20">
        <f>SUMIF(Base_de_Dados!D$2:D$121, E22, Base_de_Dados!J$2:J$121)</f>
        <v/>
      </c>
    </row>
    <row r="23">
      <c r="E23" t="inlineStr">
        <is>
          <t>Xbox Game Pass Ultimate 3 Meses</t>
        </is>
      </c>
      <c r="F23" s="20">
        <f>SUMIF(Base_de_Dados!D$2:D$121, E23, Base_de_Dados!J$2:J$121)</f>
        <v/>
      </c>
    </row>
    <row r="24">
      <c r="E24" t="inlineStr">
        <is>
          <t>Starfield - Edição Standard</t>
        </is>
      </c>
      <c r="F24" s="20">
        <f>SUMIF(Base_de_Dados!D$2:D$121, E24, Base_de_Dados!J$2:J$121)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2026-10-15T17:31:47Z</dcterms:created>
  <dcterms:modified xmlns:dcterms="http://purl.org/dc/terms/" xmlns:xsi="http://www.w3.org/2001/XMLSchema-instance" xsi:type="dcterms:W3CDTF">2026-10-15T17:31:47Z</dcterms:modified>
</cp:coreProperties>
</file>